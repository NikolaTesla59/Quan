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ng_Quan_Bo_Loc" sheetId="1" state="visible" r:id="rId1"/>
    <sheet xmlns:r="http://schemas.openxmlformats.org/officeDocument/2006/relationships" name="Danh_Gia_Toan_Bo_CP" sheetId="2" state="visible" r:id="rId2"/>
    <sheet xmlns:r="http://schemas.openxmlformats.org/officeDocument/2006/relationships" name="Top_Co_Phieu_Chon_Loc" sheetId="3" state="visible" r:id="rId3"/>
    <sheet xmlns:r="http://schemas.openxmlformats.org/officeDocument/2006/relationships" name="Ban_Do_Chu_Ky_Nganh" sheetId="4" state="visible" r:id="rId4"/>
    <sheet xmlns:r="http://schemas.openxmlformats.org/officeDocument/2006/relationships" name="Radar_Song_Nganh" sheetId="5" state="visible" r:id="rId5"/>
    <sheet xmlns:r="http://schemas.openxmlformats.org/officeDocument/2006/relationships" name="Tich_San_Co_Tuc_CashCow" sheetId="6" state="visible" r:id="rId6"/>
    <sheet xmlns:r="http://schemas.openxmlformats.org/officeDocument/2006/relationships" name="Sieu_Xuc_Tac_Catalyst"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quot;x&quot;"/>
    <numFmt numFmtId="167" formatCode="0.00&quot;x&quot;"/>
    <numFmt numFmtId="168" formatCode="0.0"/>
  </numFmts>
  <fonts count="13">
    <font>
      <name val="Calibri"/>
      <family val="2"/>
      <color theme="1"/>
      <sz val="11"/>
      <scheme val="minor"/>
    </font>
    <font>
      <name val="Arial"/>
      <b val="1"/>
      <color rgb="00FFFFFF"/>
      <sz val="15"/>
    </font>
    <font>
      <name val="Arial"/>
      <i val="1"/>
      <color rgb="00E0E0E0"/>
      <sz val="10"/>
    </font>
    <font>
      <name val="Arial"/>
      <b val="1"/>
      <color rgb="001B365D"/>
      <sz val="11"/>
    </font>
    <font>
      <name val="Arial"/>
      <b val="1"/>
      <color rgb="00FFFFFF"/>
      <sz val="9"/>
    </font>
    <font>
      <name val="Arial"/>
      <b val="1"/>
      <color rgb="00000000"/>
      <sz val="9"/>
    </font>
    <font>
      <name val="Arial"/>
      <color rgb="00000000"/>
      <sz val="9"/>
    </font>
    <font>
      <name val="Arial"/>
      <b val="1"/>
      <color rgb="00137333"/>
      <sz val="9"/>
    </font>
    <font>
      <name val="Arial"/>
      <b val="1"/>
      <color rgb="001A73E8"/>
      <sz val="9"/>
    </font>
    <font>
      <name val="Arial"/>
      <b val="1"/>
      <color rgb="00B06000"/>
      <sz val="9"/>
    </font>
    <font>
      <name val="Arial"/>
      <b val="1"/>
      <color rgb="00C5221F"/>
      <sz val="9"/>
    </font>
    <font>
      <name val="Arial"/>
      <b val="1"/>
      <color rgb="000000FF"/>
      <sz val="9"/>
    </font>
    <font>
      <name val="Arial"/>
      <color rgb="00C5221F"/>
      <sz val="9"/>
    </font>
  </fonts>
  <fills count="11">
    <fill>
      <patternFill/>
    </fill>
    <fill>
      <patternFill patternType="gray125"/>
    </fill>
    <fill>
      <patternFill patternType="solid">
        <fgColor rgb="001B365D"/>
        <bgColor rgb="001B365D"/>
      </patternFill>
    </fill>
    <fill>
      <patternFill patternType="solid">
        <fgColor rgb="002A4D7C"/>
        <bgColor rgb="002A4D7C"/>
      </patternFill>
    </fill>
    <fill>
      <patternFill patternType="solid">
        <fgColor rgb="00E6F4EA"/>
        <bgColor rgb="00E6F4EA"/>
      </patternFill>
    </fill>
    <fill>
      <patternFill patternType="solid">
        <fgColor rgb="00E8F0FE"/>
        <bgColor rgb="00E8F0FE"/>
      </patternFill>
    </fill>
    <fill>
      <patternFill patternType="solid">
        <fgColor rgb="00FEF7E0"/>
        <bgColor rgb="00FEF7E0"/>
      </patternFill>
    </fill>
    <fill>
      <patternFill patternType="solid">
        <fgColor rgb="00FCE8E6"/>
        <bgColor rgb="00FCE8E6"/>
      </patternFill>
    </fill>
    <fill>
      <patternFill patternType="solid">
        <fgColor rgb="00E8F1F5"/>
        <bgColor rgb="00E8F1F5"/>
      </patternFill>
    </fill>
    <fill>
      <patternFill patternType="solid">
        <fgColor rgb="00FFFFFF"/>
        <bgColor rgb="00FFFFFF"/>
      </patternFill>
    </fill>
    <fill>
      <patternFill patternType="solid">
        <fgColor rgb="00F8FAFC"/>
        <bgColor rgb="00F8FAFC"/>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xf>
    <xf numFmtId="0" fontId="3" fillId="0" borderId="0" pivotButton="0" quotePrefix="0" xfId="0"/>
    <xf numFmtId="0" fontId="4" fillId="2" borderId="0" pivotButton="0" quotePrefix="0" xfId="0"/>
    <xf numFmtId="0" fontId="5" fillId="0" borderId="1" pivotButton="0" quotePrefix="0" xfId="0"/>
    <xf numFmtId="0" fontId="6" fillId="0" borderId="1" pivotButton="0" quotePrefix="0" xfId="0"/>
    <xf numFmtId="0" fontId="0" fillId="0" borderId="1"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xf>
    <xf numFmtId="0" fontId="4" fillId="2" borderId="0" applyAlignment="1" pivotButton="0" quotePrefix="0" xfId="0">
      <alignment horizontal="center" vertical="center"/>
    </xf>
    <xf numFmtId="0" fontId="7" fillId="4" borderId="1" pivotButton="0" quotePrefix="0" xfId="0"/>
    <xf numFmtId="0" fontId="0" fillId="4" borderId="1" pivotButton="0" quotePrefix="0" xfId="0"/>
    <xf numFmtId="0" fontId="0" fillId="4" borderId="1" applyAlignment="1" pivotButton="0" quotePrefix="0" xfId="0">
      <alignment horizontal="center"/>
    </xf>
    <xf numFmtId="164" fontId="0" fillId="4" borderId="1" applyAlignment="1" pivotButton="0" quotePrefix="0" xfId="0">
      <alignment horizontal="center"/>
    </xf>
    <xf numFmtId="0" fontId="8" fillId="5" borderId="1" pivotButton="0" quotePrefix="0" xfId="0"/>
    <xf numFmtId="0" fontId="0" fillId="5" borderId="1" pivotButton="0" quotePrefix="0" xfId="0"/>
    <xf numFmtId="0" fontId="0" fillId="5" borderId="1" applyAlignment="1" pivotButton="0" quotePrefix="0" xfId="0">
      <alignment horizontal="center"/>
    </xf>
    <xf numFmtId="164" fontId="0" fillId="5" borderId="1" applyAlignment="1" pivotButton="0" quotePrefix="0" xfId="0">
      <alignment horizontal="center"/>
    </xf>
    <xf numFmtId="0" fontId="9" fillId="6" borderId="1" pivotButton="0" quotePrefix="0" xfId="0"/>
    <xf numFmtId="0" fontId="0" fillId="6" borderId="1" pivotButton="0" quotePrefix="0" xfId="0"/>
    <xf numFmtId="0" fontId="0" fillId="6" borderId="1" applyAlignment="1" pivotButton="0" quotePrefix="0" xfId="0">
      <alignment horizontal="center"/>
    </xf>
    <xf numFmtId="164" fontId="0" fillId="6" borderId="1" applyAlignment="1" pivotButton="0" quotePrefix="0" xfId="0">
      <alignment horizontal="center"/>
    </xf>
    <xf numFmtId="0" fontId="10" fillId="7" borderId="1" pivotButton="0" quotePrefix="0" xfId="0"/>
    <xf numFmtId="0" fontId="0" fillId="7" borderId="1" pivotButton="0" quotePrefix="0" xfId="0"/>
    <xf numFmtId="0" fontId="0" fillId="7" borderId="1" applyAlignment="1" pivotButton="0" quotePrefix="0" xfId="0">
      <alignment horizontal="center"/>
    </xf>
    <xf numFmtId="164" fontId="0" fillId="7" borderId="1" applyAlignment="1" pivotButton="0" quotePrefix="0" xfId="0">
      <alignment horizontal="center"/>
    </xf>
    <xf numFmtId="0" fontId="5" fillId="8" borderId="1" pivotButton="0" quotePrefix="0" xfId="0"/>
    <xf numFmtId="0" fontId="5" fillId="8" borderId="1" applyAlignment="1" pivotButton="0" quotePrefix="0" xfId="0">
      <alignment horizontal="center"/>
    </xf>
    <xf numFmtId="164" fontId="5" fillId="8" borderId="1" applyAlignment="1" pivotButton="0" quotePrefix="0" xfId="0">
      <alignment horizontal="center"/>
    </xf>
    <xf numFmtId="0" fontId="4" fillId="2" borderId="1" applyAlignment="1" pivotButton="0" quotePrefix="0" xfId="0">
      <alignment horizontal="center" vertical="center" wrapText="1"/>
    </xf>
    <xf numFmtId="0" fontId="6" fillId="9" borderId="1" applyAlignment="1" pivotButton="0" quotePrefix="0" xfId="0">
      <alignment horizontal="center"/>
    </xf>
    <xf numFmtId="0" fontId="11" fillId="9" borderId="1" applyAlignment="1" pivotButton="0" quotePrefix="0" xfId="0">
      <alignment horizontal="center"/>
    </xf>
    <xf numFmtId="0" fontId="6" fillId="9" borderId="1" pivotButton="0" quotePrefix="0" xfId="0"/>
    <xf numFmtId="0" fontId="5" fillId="9" borderId="1" pivotButton="0" quotePrefix="0" xfId="0"/>
    <xf numFmtId="165" fontId="6" fillId="9" borderId="1" pivotButton="0" quotePrefix="0" xfId="0"/>
    <xf numFmtId="164" fontId="6" fillId="9" borderId="1" pivotButton="0" quotePrefix="0" xfId="0"/>
    <xf numFmtId="3" fontId="6" fillId="9" borderId="1" pivotButton="0" quotePrefix="0" xfId="0"/>
    <xf numFmtId="164" fontId="5" fillId="9" borderId="1" pivotButton="0" quotePrefix="0" xfId="0"/>
    <xf numFmtId="166" fontId="6" fillId="9" borderId="1" pivotButton="0" quotePrefix="0" xfId="0"/>
    <xf numFmtId="167" fontId="6" fillId="9" borderId="1" pivotButton="0" quotePrefix="0" xfId="0"/>
    <xf numFmtId="168" fontId="5" fillId="9" borderId="1" applyAlignment="1" pivotButton="0" quotePrefix="0" xfId="0">
      <alignment horizontal="center"/>
    </xf>
    <xf numFmtId="0" fontId="12" fillId="7" borderId="1" pivotButton="0" quotePrefix="0" xfId="0"/>
    <xf numFmtId="0" fontId="6" fillId="10" borderId="1" applyAlignment="1" pivotButton="0" quotePrefix="0" xfId="0">
      <alignment horizontal="center"/>
    </xf>
    <xf numFmtId="0" fontId="11" fillId="10" borderId="1" applyAlignment="1" pivotButton="0" quotePrefix="0" xfId="0">
      <alignment horizontal="center"/>
    </xf>
    <xf numFmtId="0" fontId="6" fillId="10" borderId="1" pivotButton="0" quotePrefix="0" xfId="0"/>
    <xf numFmtId="0" fontId="5" fillId="10" borderId="1" pivotButton="0" quotePrefix="0" xfId="0"/>
    <xf numFmtId="165" fontId="6" fillId="10" borderId="1" pivotButton="0" quotePrefix="0" xfId="0"/>
    <xf numFmtId="164" fontId="6" fillId="10" borderId="1" pivotButton="0" quotePrefix="0" xfId="0"/>
    <xf numFmtId="3" fontId="6" fillId="10" borderId="1" pivotButton="0" quotePrefix="0" xfId="0"/>
    <xf numFmtId="164" fontId="5" fillId="10" borderId="1" pivotButton="0" quotePrefix="0" xfId="0"/>
    <xf numFmtId="166" fontId="6" fillId="10" borderId="1" pivotButton="0" quotePrefix="0" xfId="0"/>
    <xf numFmtId="167" fontId="6" fillId="10" borderId="1" pivotButton="0" quotePrefix="0" xfId="0"/>
    <xf numFmtId="168" fontId="5" fillId="10" borderId="1" applyAlignment="1" pivotButton="0" quotePrefix="0" xfId="0">
      <alignment horizontal="center"/>
    </xf>
    <xf numFmtId="0" fontId="1" fillId="2" borderId="0" applyAlignment="1" pivotButton="0" quotePrefix="0" xfId="0">
      <alignment horizontal="center" vertical="center"/>
    </xf>
    <xf numFmtId="164" fontId="6" fillId="10" borderId="1" applyAlignment="1" pivotButton="0" quotePrefix="0" xfId="0">
      <alignment horizontal="center"/>
    </xf>
    <xf numFmtId="166" fontId="6" fillId="10" borderId="1" applyAlignment="1" pivotButton="0" quotePrefix="0" xfId="0">
      <alignment horizontal="center"/>
    </xf>
    <xf numFmtId="164" fontId="6" fillId="9" borderId="1" applyAlignment="1" pivotButton="0" quotePrefix="0" xfId="0">
      <alignment horizontal="center"/>
    </xf>
    <xf numFmtId="166" fontId="6" fillId="9" borderId="1" applyAlignment="1" pivotButton="0" quotePrefix="0" xfId="0">
      <alignment horizontal="center"/>
    </xf>
    <xf numFmtId="164" fontId="7" fillId="9" borderId="1" pivotButton="0" quotePrefix="0" xfId="0"/>
    <xf numFmtId="164" fontId="9" fillId="9" borderId="1" pivotButton="0" quotePrefix="0" xfId="0"/>
    <xf numFmtId="164" fontId="7" fillId="1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1"/>
  <sheetViews>
    <sheetView showGridLines="1" workbookViewId="0">
      <selection activeCell="A1" sqref="A1"/>
    </sheetView>
  </sheetViews>
  <sheetFormatPr baseColWidth="8" defaultRowHeight="15"/>
  <cols>
    <col width="30" customWidth="1" min="1" max="1"/>
    <col width="36" customWidth="1" min="2" max="2"/>
    <col width="16" customWidth="1" min="3" max="3"/>
    <col width="18" customWidth="1" min="4" max="4"/>
    <col width="46" customWidth="1" min="5" max="5"/>
  </cols>
  <sheetData>
    <row r="1">
      <c r="A1" s="1" t="inlineStr">
        <is>
          <t>KHUNG TIÊU CHÍ CHỌN CỔ PHIẾU ĐỊNH CHẾ: CỔNG CHẶN, CHU KỲ, GIÁ MỤC TIÊU &amp; SIÊU XÚC TÁC</t>
        </is>
      </c>
    </row>
    <row r="2"/>
    <row r="3">
      <c r="A3" s="2" t="inlineStr">
        <is>
          <t>Tích hợp mô hình SSI Research &amp; HSC | Giá Mục Tiêu, Upside %, Forward P/E, EV/EBITDA, Room Ngoại &amp; Cash Cow</t>
        </is>
      </c>
    </row>
    <row r="5">
      <c r="A5" s="3" t="inlineStr">
        <is>
          <t>1. NGUYÊN TẮC CỐT LÕI CỦA KHUNG TIÊU CHÍ ĐỊNH CHẾ</t>
        </is>
      </c>
    </row>
    <row r="6">
      <c r="A6" s="4" t="inlineStr">
        <is>
          <t>Nguyên Tắc</t>
        </is>
      </c>
      <c r="B6" s="4" t="inlineStr">
        <is>
          <t>Nội Dung Chi Tiết</t>
        </is>
      </c>
    </row>
    <row r="7">
      <c r="A7" s="5" t="inlineStr">
        <is>
          <t>Nguyên tắc 1: Cổng chặn cứng không có ngoại lệ</t>
        </is>
      </c>
      <c r="B7" s="6" t="inlineStr">
        <is>
          <t>Đạo đức ban lãnh đạo, tính trung thực của BCTC và khả năng sống sót tài chính là cổng cứng. Không nới lỏng cổng chỉ vì lợi nhuận kỳ vọng cao hoặc thị trường tăng nóng.</t>
        </is>
      </c>
      <c r="C7" s="7" t="n"/>
      <c r="D7" s="7" t="n"/>
      <c r="E7" s="7" t="n"/>
      <c r="F7" s="7" t="n"/>
      <c r="G7" s="7" t="n"/>
    </row>
    <row r="8">
      <c r="A8" s="5" t="inlineStr">
        <is>
          <t>Nguyên tắc 2: Phân hóa 2 túi danh mục độc lập</t>
        </is>
      </c>
      <c r="B8" s="6" t="inlineStr">
        <is>
          <t>Túi 1: Tích sản cổ tức dài hạn (Cash Cow - như Thác Mơ TMP, DRL, BMP, SCS, QTP) hưởng dòng tiền cổ tức 8-15%/năm. Túi 2: Lướt sóng chu kỳ thanh khoản cao (HPG, SSI, TCB, MWG, HAH...).</t>
        </is>
      </c>
      <c r="C8" s="7" t="n"/>
      <c r="D8" s="7" t="n"/>
      <c r="E8" s="7" t="n"/>
      <c r="F8" s="7" t="n"/>
      <c r="G8" s="7" t="n"/>
    </row>
    <row r="9">
      <c r="A9" s="5" t="inlineStr">
        <is>
          <t>Nguyên tắc 3: Nhìn qua kính lái (Forward Multiples)</t>
        </is>
      </c>
      <c r="B9" s="6" t="inlineStr">
        <is>
          <t>Không dùng P/E quá khứ đơn thuần. Đánh giá dựa trên Forward P/E 12 tháng tới, EV/EBITDA và Giá mục tiêu để xác định Biên an toàn (Upside &gt;= 25% mới giải ngân mạnh).</t>
        </is>
      </c>
      <c r="C9" s="7" t="n"/>
      <c r="D9" s="7" t="n"/>
      <c r="E9" s="7" t="n"/>
      <c r="F9" s="7" t="n"/>
      <c r="G9" s="7" t="n"/>
    </row>
    <row r="10">
      <c r="A10" s="5" t="inlineStr">
        <is>
          <t>Nguyên tắc 4: Săn tìm Siêu xúc tác (Catalysts)</t>
        </is>
      </c>
      <c r="B10" s="6" t="inlineStr">
        <is>
          <t>Đón đầu các điểm uốn tạo ra bước nhảy vọt lợi nhuận: Hết khấu hao TSCĐ, Công suất mới vận hành (Dung Quất 2), Hòa vốn chuyển lãi (Bách Hóa Xanh), Bồi thường đất KCN.</t>
        </is>
      </c>
      <c r="C10" s="7" t="n"/>
      <c r="D10" s="7" t="n"/>
      <c r="E10" s="7" t="n"/>
      <c r="F10" s="7" t="n"/>
      <c r="G10" s="7" t="n"/>
    </row>
    <row r="12">
      <c r="A12" s="3" t="inlineStr">
        <is>
          <t>2. CẤU TRÚC BỘ LỌC CỔNG CHẶN VÀ BẢNG TRỌNG SỐ CHẤM ĐIỂM (100 ĐIỂM)</t>
        </is>
      </c>
    </row>
    <row r="13">
      <c r="A13" s="8" t="inlineStr">
        <is>
          <t>Trụ Cột Đánh Giá</t>
        </is>
      </c>
      <c r="B13" s="8" t="inlineStr">
        <is>
          <t>Vai Trò Trong Khung</t>
        </is>
      </c>
      <c r="C13" s="8" t="inlineStr">
        <is>
          <t>Tiêu Chí Lượng Hóa Cụ Thể (Vietstock &amp; Định Chế)</t>
        </is>
      </c>
      <c r="D13" s="8" t="inlineStr">
        <is>
          <t>Trọng Số Điểm</t>
        </is>
      </c>
      <c r="E13" s="8" t="inlineStr">
        <is>
          <t>Quy Tắc Xử Lý</t>
        </is>
      </c>
    </row>
    <row r="14">
      <c r="A14" s="5" t="inlineStr">
        <is>
          <t>Cổng Cứng 1: Đạo Đức &amp; BCTC</t>
        </is>
      </c>
      <c r="B14" s="6" t="inlineStr">
        <is>
          <t>Điều kiện CẦN (Hard Gate)</t>
        </is>
      </c>
      <c r="C14" s="6" t="inlineStr">
        <is>
          <t>Ý kiến kiểm toán sạch (Soát xét/Kiểm toán); Không lỗ giấu nợ; Vốn chủ &gt; 0</t>
        </is>
      </c>
      <c r="D14" s="9" t="inlineStr">
        <is>
          <t>Loại trừ</t>
        </is>
      </c>
      <c r="E14" s="6" t="inlineStr">
        <is>
          <t>Cờ đỏ loại ngay lập tức. Không có ngoại lệ.</t>
        </is>
      </c>
    </row>
    <row r="15">
      <c r="A15" s="5" t="inlineStr">
        <is>
          <t>Cổng Cứng 2: Sống Sót Tài Chính</t>
        </is>
      </c>
      <c r="B15" s="6" t="inlineStr">
        <is>
          <t>Điều kiện CẦN (Hard Gate)</t>
        </is>
      </c>
      <c r="C15" s="6" t="inlineStr">
        <is>
          <t>BVPS &gt; 0; Lợi nhuận ròng &gt; 0; ROE dương; Cơ cấu vốn an toàn</t>
        </is>
      </c>
      <c r="D15" s="9" t="inlineStr">
        <is>
          <t>Loại trừ</t>
        </is>
      </c>
      <c r="E15" s="6" t="inlineStr">
        <is>
          <t>Loại bỏ doanh nghiệp thâm hụt vốn hoặc lỗ lũy kế.</t>
        </is>
      </c>
    </row>
    <row r="16">
      <c r="A16" s="5" t="inlineStr">
        <is>
          <t>Cổng Cứng 3: Trần Định Giá Thực Tế</t>
        </is>
      </c>
      <c r="B16" s="6" t="inlineStr">
        <is>
          <t>Điều kiện CẦN (Hard Gate)</t>
        </is>
      </c>
      <c r="C16" s="6" t="inlineStr">
        <is>
          <t>P/E thực tế &gt; 0 và &lt;= 35 lần; P/B thực tế đặt cạnh ROE tương xứng</t>
        </is>
      </c>
      <c r="D16" s="9" t="inlineStr">
        <is>
          <t>Loại trừ</t>
        </is>
      </c>
      <c r="E16" s="6" t="inlineStr">
        <is>
          <t>Loại bỏ cổ phiếu định giá bong bóng hoặc P/E âm.</t>
        </is>
      </c>
    </row>
    <row r="17">
      <c r="A17" s="5" t="inlineStr">
        <is>
          <t>Cổng Cứng 4: Thanh Khoản Thực Thi</t>
        </is>
      </c>
      <c r="B17" s="6" t="inlineStr">
        <is>
          <t>Điều kiện CẦN (Hard Gate)</t>
        </is>
      </c>
      <c r="C17" s="6" t="inlineStr">
        <is>
          <t>ADTV 20D &gt;= 1 - 5 tỷ/phiên (hoặc nhãn Tích sản cổ tức đối với mã cô đặc)</t>
        </is>
      </c>
      <c r="D17" s="9" t="inlineStr">
        <is>
          <t>Phân loại</t>
        </is>
      </c>
      <c r="E17" s="6" t="inlineStr">
        <is>
          <t>Ngăn chặn kẹt thanh khoản, giúp giải ngân an toàn.</t>
        </is>
      </c>
    </row>
    <row r="18">
      <c r="A18" s="5" t="inlineStr">
        <is>
          <t>Cổng Chu Kỳ: Độ Nhạy Chu Kỳ</t>
        </is>
      </c>
      <c r="B18" s="6" t="inlineStr">
        <is>
          <t>Cổng Mềm &amp; Cảnh Báo</t>
        </is>
      </c>
      <c r="C18" s="6" t="inlineStr">
        <is>
          <t>Tăng trưởng LN cùng kỳ; Vị trí chu kỳ; Biên ròng qua các quý</t>
        </is>
      </c>
      <c r="D18" s="9" t="inlineStr">
        <is>
          <t>Điều chỉnh</t>
        </is>
      </c>
      <c r="E18" s="6" t="inlineStr">
        <is>
          <t>Cảnh báo bẫy P/E đỉnh chu kỳ; Ưu tiên chu kỳ lên/đáy xác nhận.</t>
        </is>
      </c>
    </row>
    <row r="19">
      <c r="A19" s="5" t="inlineStr">
        <is>
          <t>1. Định Giá Định Chế (Forward P/E, EV/EBITDA)</t>
        </is>
      </c>
      <c r="B19" s="6" t="inlineStr">
        <is>
          <t>Điều kiện ĐỦ (Scoring)</t>
        </is>
      </c>
      <c r="C19" s="6" t="inlineStr">
        <is>
          <t>Forward P/E 12 tháng; EV/EBITDA; Giá mục tiêu và Upside %</t>
        </is>
      </c>
      <c r="D19" s="9" t="inlineStr">
        <is>
          <t>25%</t>
        </is>
      </c>
      <c r="E19" s="6" t="inlineStr">
        <is>
          <t>Thưởng điểm cho Forward P/E rẻ và Upside &gt;= 25%.</t>
        </is>
      </c>
    </row>
    <row r="20">
      <c r="A20" s="5" t="inlineStr">
        <is>
          <t>2. Sức Mạnh Tài Chính &amp; Dòng Tiền</t>
        </is>
      </c>
      <c r="B20" s="6" t="inlineStr">
        <is>
          <t>Điều kiện ĐỦ (Scoring)</t>
        </is>
      </c>
      <c r="C20" s="6" t="inlineStr">
        <is>
          <t>ROE bền vững; Biên lợi nhuận ròng; Dòng tiền tự do FCF dồi dào</t>
        </is>
      </c>
      <c r="D20" s="9" t="inlineStr">
        <is>
          <t>25%</t>
        </is>
      </c>
      <c r="E20" s="6" t="inlineStr">
        <is>
          <t>Thưởng điểm tối đa cho ROE &gt; 20% và Biên ròng &gt; 20%.</t>
        </is>
      </c>
    </row>
    <row r="21">
      <c r="A21" s="5" t="inlineStr">
        <is>
          <t>3. Vị Thế Ngành &amp; Con Hào Kinh Tế</t>
        </is>
      </c>
      <c r="B21" s="6" t="inlineStr">
        <is>
          <t>Điều kiện ĐỦ (Scoring)</t>
        </is>
      </c>
      <c r="C21" s="6" t="inlineStr">
        <is>
          <t>Quy mô lợi nhuận; Vị thế độc quyền tự nhiên; Thị phần dẫn đầu</t>
        </is>
      </c>
      <c r="D21" s="9" t="inlineStr">
        <is>
          <t>15%</t>
        </is>
      </c>
      <c r="E21" s="6" t="inlineStr">
        <is>
          <t>Doanh nghiệp đầu ngành quy mô LN &gt; 500 - 2.000 tỷ đạt điểm cao.</t>
        </is>
      </c>
    </row>
    <row r="22">
      <c r="A22" s="5" t="inlineStr">
        <is>
          <t>4. Quản Trị &amp; Đối Xử Cổ Đông</t>
        </is>
      </c>
      <c r="B22" s="6" t="inlineStr">
        <is>
          <t>Điều kiện ĐỦ (Scoring)</t>
        </is>
      </c>
      <c r="C22" s="6" t="inlineStr">
        <is>
          <t>Chất lượng kiểm toán; Trả cổ tức tiền mặt đều đặn; Room ngoại kín</t>
        </is>
      </c>
      <c r="D22" s="9" t="inlineStr">
        <is>
          <t>15%</t>
        </is>
      </c>
      <c r="E22" s="6" t="inlineStr">
        <is>
          <t>BCTC kiểm toán sạch; Lịch sử trả cổ tức tiền mặt bền vững.</t>
        </is>
      </c>
    </row>
    <row r="23">
      <c r="A23" s="5" t="inlineStr">
        <is>
          <t>5. Tăng Trưởng &amp; Siêu Xúc Tác</t>
        </is>
      </c>
      <c r="B23" s="6" t="inlineStr">
        <is>
          <t>Điều kiện ĐỦ (Scoring)</t>
        </is>
      </c>
      <c r="C23" s="6" t="inlineStr">
        <is>
          <t>Tăng trưởng LNST YoY; Điểm rơi xúc tác (Hết khấu hao / Dung Quất 2 / Bách Hóa Xanh)</t>
        </is>
      </c>
      <c r="D23" s="9" t="inlineStr">
        <is>
          <t>20%</t>
        </is>
      </c>
      <c r="E23" s="6" t="inlineStr">
        <is>
          <t>Thưởng điểm tối đa cho doanh nghiệp có siêu xúc tác bùng nổ.</t>
        </is>
      </c>
    </row>
    <row r="25">
      <c r="A25" s="3" t="inlineStr">
        <is>
          <t>3. THỐNG KÊ KẾT QUẢ PHÂN TẦNG VÀ PHÂN BỔ CHIẾN LƯỢC</t>
        </is>
      </c>
    </row>
    <row r="26">
      <c r="A26" s="10" t="inlineStr">
        <is>
          <t>Phân Tầng Đánh Giá</t>
        </is>
      </c>
      <c r="B26" s="10" t="inlineStr">
        <is>
          <t>Tiêu Chí Điểm &amp; Điều Kiện</t>
        </is>
      </c>
      <c r="C26" s="10" t="inlineStr">
        <is>
          <t>Số Lượng Mã</t>
        </is>
      </c>
      <c r="D26" s="10" t="inlineStr">
        <is>
          <t>Tỷ Lệ Thị Trường</t>
        </is>
      </c>
      <c r="E26" s="10" t="inlineStr">
        <is>
          <t>Chiến Lược Hành Động Khuyến Nghị</t>
        </is>
      </c>
    </row>
    <row r="27">
      <c r="A27" s="11" t="inlineStr">
        <is>
          <t>TẦNG 1 (Ưu tiên hàng đầu)</t>
        </is>
      </c>
      <c r="B27" s="12" t="inlineStr">
        <is>
          <t>Vượt qua Cổng Cứng + Chu kỳ lên/bền vững + Điểm &gt;= 75đ</t>
        </is>
      </c>
      <c r="C27" s="13" t="n">
        <v>0</v>
      </c>
      <c r="D27" s="14">
        <f>C27/3</f>
        <v/>
      </c>
      <c r="E27" s="12" t="inlineStr">
        <is>
          <t>Ưu tiên giải ngân từng phần (30% - 30% - 40%), phân bổ vào 2 túi Tích sản &amp; Lướt sóng.</t>
        </is>
      </c>
    </row>
    <row r="28">
      <c r="A28" s="15" t="inlineStr">
        <is>
          <t>TẦNG 2 (Theo dõi sát)</t>
        </is>
      </c>
      <c r="B28" s="16" t="inlineStr">
        <is>
          <t>Vượt qua Cổng Cứng + Chu kỳ tích lũy + Điểm 60 - 74đ</t>
        </is>
      </c>
      <c r="C28" s="17" t="n">
        <v>0</v>
      </c>
      <c r="D28" s="18">
        <f>C28/3</f>
        <v/>
      </c>
      <c r="E28" s="16" t="inlineStr">
        <is>
          <t>Watchlist tích cực, chờ điểm neo kỹ thuật / MA200 để mở vị thế.</t>
        </is>
      </c>
    </row>
    <row r="29">
      <c r="A29" s="19" t="inlineStr">
        <is>
          <t>TẦNG 3 (Chờ xúc tác / Phục hồi)</t>
        </is>
      </c>
      <c r="B29" s="20" t="inlineStr">
        <is>
          <t>Qua cổng sống sót + Điểm 45 - 59đ (Chu kỳ đang khó/định giá chưa rẻ)</t>
        </is>
      </c>
      <c r="C29" s="21" t="n">
        <v>0</v>
      </c>
      <c r="D29" s="22">
        <f>C29/3</f>
        <v/>
      </c>
      <c r="E29" s="20" t="inlineStr">
        <is>
          <t>Theo dõi điều kiện đổi chiều chu kỳ hoặc bằng chứng hồi phục 2 quý.</t>
        </is>
      </c>
    </row>
    <row r="30">
      <c r="A30" s="23" t="inlineStr">
        <is>
          <t>TẦNG 4 (Loại bỏ / Tránh xa)</t>
        </is>
      </c>
      <c r="B30" s="24" t="inlineStr">
        <is>
          <t>Vi phạm Cổng Cứng (lỗ, âm vốn, BCTC có vấn đề, P/E âm) hoặc Điểm &lt; 45đ</t>
        </is>
      </c>
      <c r="C30" s="25" t="n">
        <v>3</v>
      </c>
      <c r="D30" s="26">
        <f>C30/3</f>
        <v/>
      </c>
      <c r="E30" s="24" t="inlineStr">
        <is>
          <t>Loại trừ triệt để khỏi danh mục, không bắt dao rơi.</t>
        </is>
      </c>
    </row>
    <row r="31">
      <c r="A31" s="27" t="inlineStr">
        <is>
          <t>TỔNG CỘNG</t>
        </is>
      </c>
      <c r="B31" s="27" t="inlineStr">
        <is>
          <t>Toàn bộ danh sách cổ phiếu niêm yết từ Vietstock</t>
        </is>
      </c>
      <c r="C31" s="28">
        <f>SUM(C27:C30)</f>
        <v/>
      </c>
      <c r="D31" s="29">
        <f>SUM(D27:D30)</f>
        <v/>
      </c>
      <c r="E31" s="27" t="inlineStr">
        <is>
          <t>100% Cổ phiếu được thẩm định khách quan theo khung phương pháp</t>
        </is>
      </c>
    </row>
  </sheetData>
  <mergeCells count="7">
    <mergeCell ref="B10:G10"/>
    <mergeCell ref="A1:G2"/>
    <mergeCell ref="A3:G3"/>
    <mergeCell ref="B9:G9"/>
    <mergeCell ref="B8:G8"/>
    <mergeCell ref="B7:G7"/>
    <mergeCell ref="B6:G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4"/>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30" customWidth="1" min="3" max="3"/>
    <col width="8" customWidth="1" min="4" max="4"/>
    <col width="25" customWidth="1" min="5" max="5"/>
    <col width="24" customWidth="1" min="6" max="6"/>
    <col width="26" customWidth="1" min="7" max="7"/>
    <col width="28" customWidth="1" min="8" max="8"/>
    <col width="14" customWidth="1" min="9" max="9"/>
    <col width="14" customWidth="1" min="10" max="10"/>
    <col width="14" customWidth="1" min="11" max="11"/>
    <col width="13" customWidth="1" min="12" max="12"/>
    <col width="15" customWidth="1" min="13" max="13"/>
    <col width="18" customWidth="1" min="14" max="14"/>
    <col width="18" customWidth="1" min="15" max="15"/>
    <col width="16" customWidth="1" min="16" max="16"/>
    <col width="13" customWidth="1" min="17" max="17"/>
    <col width="13" customWidth="1" min="18" max="18"/>
    <col width="13" customWidth="1" min="19" max="19"/>
    <col width="12" customWidth="1" min="20" max="20"/>
    <col width="11" customWidth="1" min="21" max="21"/>
    <col width="11" customWidth="1" min="22" max="22"/>
    <col width="28" customWidth="1" min="23" max="23"/>
    <col width="18" customWidth="1" min="24" max="24"/>
    <col width="18" customWidth="1" min="25" max="25"/>
    <col width="18" customWidth="1" min="26" max="26"/>
    <col width="24" customWidth="1" min="27" max="27"/>
    <col width="24" customWidth="1" min="28" max="28"/>
    <col width="20" customWidth="1" min="29" max="29"/>
    <col width="14" customWidth="1" min="30" max="30"/>
    <col width="14" customWidth="1" min="31" max="31"/>
    <col width="14" customWidth="1" min="32" max="32"/>
    <col width="14" customWidth="1" min="33" max="33"/>
    <col width="18" customWidth="1" min="34" max="34"/>
    <col width="15" customWidth="1" min="35" max="35"/>
    <col width="22" customWidth="1" min="36" max="36"/>
    <col width="38" customWidth="1" min="37" max="37"/>
    <col width="55" customWidth="1" min="38" max="38"/>
  </cols>
  <sheetData>
    <row r="1" ht="28" customHeight="1">
      <c r="A1" s="30" t="inlineStr">
        <is>
          <t>STT</t>
        </is>
      </c>
      <c r="B1" s="30" t="inlineStr">
        <is>
          <t>Mã CK</t>
        </is>
      </c>
      <c r="C1" s="30" t="inlineStr">
        <is>
          <t>Tên Doanh Nghiệp</t>
        </is>
      </c>
      <c r="D1" s="30" t="inlineStr">
        <is>
          <t>Sàn</t>
        </is>
      </c>
      <c r="E1" s="30" t="inlineStr">
        <is>
          <t>Nhóm Ngành (Vietstock)</t>
        </is>
      </c>
      <c r="F1" s="30" t="inlineStr">
        <is>
          <t>Đặc Tính Chu Kỳ</t>
        </is>
      </c>
      <c r="G1" s="30" t="inlineStr">
        <is>
          <t>Chiến Lược Đầu Tư</t>
        </is>
      </c>
      <c r="H1" s="30" t="inlineStr">
        <is>
          <t>Xúc Tác Trọng Yếu</t>
        </is>
      </c>
      <c r="I1" s="30" t="inlineStr">
        <is>
          <t>Doanh Thu (Tỷ)</t>
        </is>
      </c>
      <c r="J1" s="30" t="inlineStr">
        <is>
          <t>LNST (Tỷ)</t>
        </is>
      </c>
      <c r="K1" s="30" t="inlineStr">
        <is>
          <t>Tăng Trưởng LN (%)</t>
        </is>
      </c>
      <c r="L1" s="30" t="inlineStr">
        <is>
          <t>EPS 4Q (VNĐ)</t>
        </is>
      </c>
      <c r="M1" s="30" t="inlineStr">
        <is>
          <t>Thị Giá (VNĐ)</t>
        </is>
      </c>
      <c r="N1" s="30" t="inlineStr">
        <is>
          <t>Giá Mục Tiêu CTCK (VNĐ)</t>
        </is>
      </c>
      <c r="O1" s="30" t="inlineStr">
        <is>
          <t>Biên An Toàn Upside (%)</t>
        </is>
      </c>
      <c r="P1" s="30" t="inlineStr">
        <is>
          <t>Thanh Khoản 20D (Tỷ/P)</t>
        </is>
      </c>
      <c r="Q1" s="30" t="inlineStr">
        <is>
          <t>P/E Thực Tế (x)</t>
        </is>
      </c>
      <c r="R1" s="30" t="inlineStr">
        <is>
          <t>Forward P/E (x)</t>
        </is>
      </c>
      <c r="S1" s="30" t="inlineStr">
        <is>
          <t>EV/EBITDA (x)</t>
        </is>
      </c>
      <c r="T1" s="30" t="inlineStr">
        <is>
          <t>P/B Thực Tế (x)</t>
        </is>
      </c>
      <c r="U1" s="30" t="inlineStr">
        <is>
          <t>ROE (%)</t>
        </is>
      </c>
      <c r="V1" s="30" t="inlineStr">
        <is>
          <t>Biên Ròng (%)</t>
        </is>
      </c>
      <c r="W1" s="30" t="inlineStr">
        <is>
          <t>Tình Trạng Room Ngoại</t>
        </is>
      </c>
      <c r="X1" s="30" t="inlineStr">
        <is>
          <t>Cổng BCTC</t>
        </is>
      </c>
      <c r="Y1" s="30" t="inlineStr">
        <is>
          <t>Cổng Tài Chính</t>
        </is>
      </c>
      <c r="Z1" s="30" t="inlineStr">
        <is>
          <t>Cổng Định Giá</t>
        </is>
      </c>
      <c r="AA1" s="30" t="inlineStr">
        <is>
          <t>Cổng Thanh Khoản</t>
        </is>
      </c>
      <c r="AB1" s="30" t="inlineStr">
        <is>
          <t>Trạng Thái Chu Kỳ</t>
        </is>
      </c>
      <c r="AC1" s="30" t="inlineStr">
        <is>
          <t>KẾT LUẬN CỔNG</t>
        </is>
      </c>
      <c r="AD1" s="30" t="inlineStr">
        <is>
          <t>Điểm Định Giá (25)</t>
        </is>
      </c>
      <c r="AE1" s="30" t="inlineStr">
        <is>
          <t>Điểm Tài Chính (25)</t>
        </is>
      </c>
      <c r="AF1" s="30" t="inlineStr">
        <is>
          <t>Điểm Vị Thế (15)</t>
        </is>
      </c>
      <c r="AG1" s="30" t="inlineStr">
        <is>
          <t>Điểm Quản Trị (15)</t>
        </is>
      </c>
      <c r="AH1" s="30" t="inlineStr">
        <is>
          <t>Điểm Xúc Tác (20)</t>
        </is>
      </c>
      <c r="AI1" s="30" t="inlineStr">
        <is>
          <t>TỔNG ĐIỂM (100)</t>
        </is>
      </c>
      <c r="AJ1" s="30" t="inlineStr">
        <is>
          <t>PHÂN TẦNG ĐẦU TƯ</t>
        </is>
      </c>
      <c r="AK1" s="30" t="inlineStr">
        <is>
          <t>KHUYẾN NGHỊ ĐỊNH CHẾ</t>
        </is>
      </c>
      <c r="AL1" s="30" t="inlineStr">
        <is>
          <t>GHI CHÚ CHI TIẾT XÚC TÁC / RỦI RO</t>
        </is>
      </c>
    </row>
    <row r="2">
      <c r="A2" s="31" t="n">
        <v>1</v>
      </c>
      <c r="B2" s="32" t="inlineStr">
        <is>
          <t>SHP</t>
        </is>
      </c>
      <c r="C2" s="33" t="inlineStr">
        <is>
          <t>CTCP Thủy điện Miền Nam</t>
        </is>
      </c>
      <c r="D2" s="31" t="inlineStr">
        <is>
          <t>HOSE</t>
        </is>
      </c>
      <c r="E2" s="33" t="inlineStr">
        <is>
          <t>Tiện ích (Điện, Nước, Khí)</t>
        </is>
      </c>
      <c r="F2" s="33" t="inlineStr">
        <is>
          <t>Phòng thủ &amp; Dòng tiền ổn định</t>
        </is>
      </c>
      <c r="G2" s="34" t="inlineStr">
        <is>
          <t>THEO DÕI / THANH KHOẢN THẤP</t>
        </is>
      </c>
      <c r="H2" s="33" t="inlineStr">
        <is>
          <t>Hoạt động kinh doanh thông thường</t>
        </is>
      </c>
      <c r="I2" s="35" t="n">
        <v>237.422976</v>
      </c>
      <c r="J2" s="35" t="n">
        <v>141.494022</v>
      </c>
      <c r="K2" s="36" t="n">
        <v>0.034</v>
      </c>
      <c r="L2" s="37" t="n">
        <v>0</v>
      </c>
      <c r="M2" s="37" t="n">
        <v>31450</v>
      </c>
      <c r="N2" s="37" t="n">
        <v>33000</v>
      </c>
      <c r="O2" s="38" t="n">
        <v>0.049</v>
      </c>
      <c r="P2" s="35" t="n">
        <v>0.07254325</v>
      </c>
      <c r="Q2" s="39" t="n">
        <v>0</v>
      </c>
      <c r="R2" s="39" t="n">
        <v>0</v>
      </c>
      <c r="S2" s="39" t="n">
        <v>5</v>
      </c>
      <c r="T2" s="40" t="n">
        <v>2.52</v>
      </c>
      <c r="U2" s="36" t="n">
        <v>0</v>
      </c>
      <c r="V2" s="36" t="n">
        <v>0.596</v>
      </c>
      <c r="W2" s="33" t="inlineStr">
        <is>
          <t>HỞ ROOM (Bình thường)</t>
        </is>
      </c>
      <c r="X2" s="33" t="inlineStr">
        <is>
          <t>CỜ VÀNG (Chưa soát xét)</t>
        </is>
      </c>
      <c r="Y2" s="33" t="inlineStr">
        <is>
          <t>CỜ VÀNG (ROE thấp &lt; 5%)</t>
        </is>
      </c>
      <c r="Z2" s="33" t="inlineStr">
        <is>
          <t>LOẠI (PE âm do lỗ)</t>
        </is>
      </c>
      <c r="AA2" s="33" t="inlineStr">
        <is>
          <t>CẢNH BÁO (Thanh khoản yếu &lt; 1 tỷ)</t>
        </is>
      </c>
      <c r="AB2" s="33" t="inlineStr">
        <is>
          <t>Tăng trưởng ổn định</t>
        </is>
      </c>
      <c r="AC2" s="31" t="inlineStr">
        <is>
          <t>BỊ CHẶN BỞI CỔNG</t>
        </is>
      </c>
      <c r="AD2" s="33" t="n">
        <v>0</v>
      </c>
      <c r="AE2" s="33" t="n">
        <v>0</v>
      </c>
      <c r="AF2" s="33" t="n">
        <v>5</v>
      </c>
      <c r="AG2" s="33" t="n">
        <v>5</v>
      </c>
      <c r="AH2" s="33" t="n">
        <v>0.3</v>
      </c>
      <c r="AI2" s="41">
        <f>SUM(AD2:AH2)</f>
        <v/>
      </c>
      <c r="AJ2" s="42" t="inlineStr">
        <is>
          <t>TẦNG 4 (Loại bỏ / Tránh xa)</t>
        </is>
      </c>
      <c r="AK2" s="33" t="inlineStr">
        <is>
          <t>THEO DÕI</t>
        </is>
      </c>
      <c r="AL2" s="33" t="inlineStr">
        <is>
          <t>Tăng trưởng theo chu kỳ tự nhiên của ngành | Lợi nhuận âm, thâm hụt vốn, kiểm toán ngoại trừ hoặc định giá ảo</t>
        </is>
      </c>
    </row>
    <row r="3">
      <c r="A3" s="43" t="n">
        <v>2</v>
      </c>
      <c r="B3" s="44" t="inlineStr">
        <is>
          <t>DRL</t>
        </is>
      </c>
      <c r="C3" s="45" t="inlineStr">
        <is>
          <t>CTCP Thủy điện - Điện Lực 3</t>
        </is>
      </c>
      <c r="D3" s="43" t="inlineStr">
        <is>
          <t>HOSE</t>
        </is>
      </c>
      <c r="E3" s="45" t="inlineStr">
        <is>
          <t>Tiện ích (Điện, Nước, Khí)</t>
        </is>
      </c>
      <c r="F3" s="45" t="inlineStr">
        <is>
          <t>Phòng thủ &amp; Dòng tiền ổn định</t>
        </is>
      </c>
      <c r="G3" s="46" t="inlineStr">
        <is>
          <t>TÍCH SẢN CỔ TỨC (Cash Cow)</t>
        </is>
      </c>
      <c r="H3" s="45" t="inlineStr">
        <is>
          <t>Hết khấu hao TSCĐ</t>
        </is>
      </c>
      <c r="I3" s="47" t="n">
        <v>17.224313</v>
      </c>
      <c r="J3" s="47" t="n">
        <v>5.940833</v>
      </c>
      <c r="K3" s="48" t="n">
        <v>-0.247</v>
      </c>
      <c r="L3" s="49" t="n">
        <v>0</v>
      </c>
      <c r="M3" s="49" t="n">
        <v>41000</v>
      </c>
      <c r="N3" s="49" t="n">
        <v>52000</v>
      </c>
      <c r="O3" s="50" t="n">
        <v>0.268</v>
      </c>
      <c r="P3" s="47" t="n">
        <v>0.2218472</v>
      </c>
      <c r="Q3" s="51" t="n">
        <v>0</v>
      </c>
      <c r="R3" s="51" t="n">
        <v>7.5</v>
      </c>
      <c r="S3" s="51" t="n">
        <v>3.8</v>
      </c>
      <c r="T3" s="52" t="n">
        <v>3.22</v>
      </c>
      <c r="U3" s="48" t="n">
        <v>0</v>
      </c>
      <c r="V3" s="48" t="n">
        <v>0.3449</v>
      </c>
      <c r="W3" s="45" t="inlineStr">
        <is>
          <t>CỔ PHIẾU CÔ ĐẶC (Cỗ máy in tiền mặt)</t>
        </is>
      </c>
      <c r="X3" s="45" t="inlineStr">
        <is>
          <t>CỜ VÀNG (Chưa soát xét)</t>
        </is>
      </c>
      <c r="Y3" s="45" t="inlineStr">
        <is>
          <t>CỜ VÀNG (ROE thấp &lt; 5%)</t>
        </is>
      </c>
      <c r="Z3" s="45" t="inlineStr">
        <is>
          <t>LOẠI (PE âm do lỗ)</t>
        </is>
      </c>
      <c r="AA3" s="45" t="inlineStr">
        <is>
          <t>ĐẠT (Phù hợp gom tích sản)</t>
        </is>
      </c>
      <c r="AB3" s="45" t="inlineStr">
        <is>
          <t>Sức mua chững lại</t>
        </is>
      </c>
      <c r="AC3" s="43" t="inlineStr">
        <is>
          <t>BỊ CHẶN BỞI CỔNG</t>
        </is>
      </c>
      <c r="AD3" s="45" t="n">
        <v>0</v>
      </c>
      <c r="AE3" s="45" t="n">
        <v>0</v>
      </c>
      <c r="AF3" s="45" t="n">
        <v>5</v>
      </c>
      <c r="AG3" s="45" t="n">
        <v>5</v>
      </c>
      <c r="AH3" s="45" t="n">
        <v>0</v>
      </c>
      <c r="AI3" s="53">
        <f>SUM(AD3:AH3)</f>
        <v/>
      </c>
      <c r="AJ3" s="42" t="inlineStr">
        <is>
          <t>TẦNG 4 (Loại bỏ / Tránh xa)</t>
        </is>
      </c>
      <c r="AK3" s="45" t="inlineStr">
        <is>
          <t>MUA TÍCH SẢN (Cổ tức tiền mặt 50-60%)</t>
        </is>
      </c>
      <c r="AL3" s="45" t="inlineStr">
        <is>
          <t>Thủy điện Đrây Hlinh 2 hết khấu hao hoàn toàn, chi phí vận hành cực thấp, cổ tức tiền mặt 40-60%/năm. | Lợi nhuận âm, thâm hụt vốn, kiểm toán ngoại trừ hoặc định giá ảo</t>
        </is>
      </c>
    </row>
    <row r="4">
      <c r="A4" s="31" t="n">
        <v>3</v>
      </c>
      <c r="B4" s="32" t="inlineStr">
        <is>
          <t>NHA</t>
        </is>
      </c>
      <c r="C4" s="33" t="inlineStr">
        <is>
          <t>Tổng Công ty Đầu tư Phát triển Nhà và Đô thị Nam Hà Nội</t>
        </is>
      </c>
      <c r="D4" s="31" t="inlineStr">
        <is>
          <t>HOSE</t>
        </is>
      </c>
      <c r="E4" s="33" t="inlineStr">
        <is>
          <t>Bất động sản &amp; Xây dựng</t>
        </is>
      </c>
      <c r="F4" s="33" t="inlineStr">
        <is>
          <t>Chu kỳ tín dụng &amp; Lãi suất</t>
        </is>
      </c>
      <c r="G4" s="34" t="inlineStr">
        <is>
          <t>THEO DÕI / THANH KHOẢN THẤP</t>
        </is>
      </c>
      <c r="H4" s="33" t="inlineStr">
        <is>
          <t>Hoạt động kinh doanh thông thường</t>
        </is>
      </c>
      <c r="I4" s="35" t="n">
        <v>107.90635</v>
      </c>
      <c r="J4" s="35" t="n">
        <v>11.441819</v>
      </c>
      <c r="K4" s="36" t="n">
        <v>-0.593</v>
      </c>
      <c r="L4" s="37" t="n">
        <v>0</v>
      </c>
      <c r="M4" s="37" t="n">
        <v>7240</v>
      </c>
      <c r="N4" s="37" t="n">
        <v>7600</v>
      </c>
      <c r="O4" s="38" t="n">
        <v>0.05</v>
      </c>
      <c r="P4" s="35" t="n">
        <v>1.36826685</v>
      </c>
      <c r="Q4" s="39" t="n">
        <v>0</v>
      </c>
      <c r="R4" s="39" t="n">
        <v>0</v>
      </c>
      <c r="S4" s="39" t="n">
        <v>5</v>
      </c>
      <c r="T4" s="40" t="n">
        <v>0.68</v>
      </c>
      <c r="U4" s="36" t="n">
        <v>0</v>
      </c>
      <c r="V4" s="36" t="n">
        <v>0.106</v>
      </c>
      <c r="W4" s="33" t="inlineStr">
        <is>
          <t>HỞ ROOM (Bình thường)</t>
        </is>
      </c>
      <c r="X4" s="33" t="inlineStr">
        <is>
          <t>CỜ VÀNG (Chưa soát xét)</t>
        </is>
      </c>
      <c r="Y4" s="33" t="inlineStr">
        <is>
          <t>CỜ VÀNG (ROE thấp &lt; 5%)</t>
        </is>
      </c>
      <c r="Z4" s="33" t="inlineStr">
        <is>
          <t>LOẠI (PE âm do lỗ)</t>
        </is>
      </c>
      <c r="AA4" s="33" t="inlineStr">
        <is>
          <t>ĐẠT (Thanh khoản vừa &gt;= 1 tỷ)</t>
        </is>
      </c>
      <c r="AB4" s="33" t="inlineStr">
        <is>
          <t>Thu hẹp / Rủi ro nợ xấu</t>
        </is>
      </c>
      <c r="AC4" s="31" t="inlineStr">
        <is>
          <t>BỊ CHẶN BỞI CỔNG</t>
        </is>
      </c>
      <c r="AD4" s="33" t="n">
        <v>0</v>
      </c>
      <c r="AE4" s="33" t="n">
        <v>0</v>
      </c>
      <c r="AF4" s="33" t="n">
        <v>5</v>
      </c>
      <c r="AG4" s="33" t="n">
        <v>5</v>
      </c>
      <c r="AH4" s="33" t="n">
        <v>0</v>
      </c>
      <c r="AI4" s="41">
        <f>SUM(AD4:AH4)</f>
        <v/>
      </c>
      <c r="AJ4" s="42" t="inlineStr">
        <is>
          <t>TẦNG 4 (Loại bỏ / Tránh xa)</t>
        </is>
      </c>
      <c r="AK4" s="33" t="inlineStr">
        <is>
          <t>THEO DÕI</t>
        </is>
      </c>
      <c r="AL4" s="33" t="inlineStr">
        <is>
          <t>Tăng trưởng theo chu kỳ tự nhiên của ngành | Lợi nhuận âm, thâm hụt vốn, kiểm toán ngoại trừ hoặc định giá ảo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
  <sheetViews>
    <sheetView showGridLines="1" workbookViewId="0">
      <pane xSplit="2" ySplit="5" topLeftCell="C6"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32" customWidth="1" min="3" max="3"/>
    <col width="24" customWidth="1" min="4" max="4"/>
    <col width="26" customWidth="1" min="5" max="5"/>
    <col width="15" customWidth="1" min="6" max="6"/>
    <col width="18" customWidth="1" min="7" max="7"/>
    <col width="18" customWidth="1" min="8" max="8"/>
    <col width="30" customWidth="1" min="9" max="9"/>
    <col width="12" customWidth="1" min="10" max="10"/>
    <col width="13" customWidth="1" min="11" max="11"/>
    <col width="13" customWidth="1" min="12" max="12"/>
    <col width="12" customWidth="1" min="13" max="13"/>
    <col width="32" customWidth="1" min="14" max="14"/>
    <col width="14" customWidth="1" min="15" max="15"/>
    <col width="60" customWidth="1" min="16" max="16"/>
  </cols>
  <sheetData>
    <row r="1">
      <c r="A1" s="54" t="inlineStr">
        <is>
          <t>DANH MỤC CỔ PHIẾU TINH HOA: ĐỊNH GIÁ MỤC TIÊU &amp; BIÊN AN TOÀN UPSIDE THEO CHUẨN ĐỊNH CHẾ</t>
        </is>
      </c>
    </row>
    <row r="2"/>
    <row r="3">
      <c r="A3" s="2" t="inlineStr">
        <is>
          <t>Tích hợp: Giá Mục Tiêu CTCK, Upside %, Forward P/E, EV/EBITDA, Tình trạng Room Ngoại và Khuyến nghị hành động</t>
        </is>
      </c>
    </row>
    <row r="5" ht="25" customHeight="1">
      <c r="A5" s="30" t="inlineStr">
        <is>
          <t>Hạng</t>
        </is>
      </c>
      <c r="B5" s="30" t="inlineStr">
        <is>
          <t>Mã CK</t>
        </is>
      </c>
      <c r="C5" s="30" t="inlineStr">
        <is>
          <t>Tên Doanh Nghiệp</t>
        </is>
      </c>
      <c r="D5" s="30" t="inlineStr">
        <is>
          <t>Ngành</t>
        </is>
      </c>
      <c r="E5" s="30" t="inlineStr">
        <is>
          <t>Chiến Lược</t>
        </is>
      </c>
      <c r="F5" s="30" t="inlineStr">
        <is>
          <t>Thị Giá (VNĐ)</t>
        </is>
      </c>
      <c r="G5" s="30" t="inlineStr">
        <is>
          <t>Giá Mục Tiêu (VNĐ)</t>
        </is>
      </c>
      <c r="H5" s="30" t="inlineStr">
        <is>
          <t>Upside Kỳ Vọng (%)</t>
        </is>
      </c>
      <c r="I5" s="30" t="inlineStr">
        <is>
          <t>Khuyến Nghị Định Chế</t>
        </is>
      </c>
      <c r="J5" s="30" t="inlineStr">
        <is>
          <t>P/E Hiện Tại</t>
        </is>
      </c>
      <c r="K5" s="30" t="inlineStr">
        <is>
          <t>Forward P/E</t>
        </is>
      </c>
      <c r="L5" s="30" t="inlineStr">
        <is>
          <t>EV/EBITDA</t>
        </is>
      </c>
      <c r="M5" s="30" t="inlineStr">
        <is>
          <t>ROE (%)</t>
        </is>
      </c>
      <c r="N5" s="30" t="inlineStr">
        <is>
          <t>Room Ngoại &amp; ETF</t>
        </is>
      </c>
      <c r="O5" s="30" t="inlineStr">
        <is>
          <t>Tổng Điểm</t>
        </is>
      </c>
      <c r="P5" s="30" t="inlineStr">
        <is>
          <t>Luận Điểm Trọng Tâm Theo Khung &amp; Xúc Tác</t>
        </is>
      </c>
    </row>
  </sheetData>
  <mergeCells count="2">
    <mergeCell ref="A1:P2"/>
    <mergeCell ref="A3:P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1"/>
  <sheetViews>
    <sheetView showGridLines="1" workbookViewId="0">
      <selection activeCell="A1" sqref="A1"/>
    </sheetView>
  </sheetViews>
  <sheetFormatPr baseColWidth="8" defaultRowHeight="15"/>
  <cols>
    <col width="22" customWidth="1" min="1" max="1"/>
    <col width="36" customWidth="1" min="2" max="2"/>
    <col width="36" customWidth="1" min="3" max="3"/>
    <col width="20" customWidth="1" min="4" max="4"/>
    <col width="38" customWidth="1" min="5" max="5"/>
    <col width="36" customWidth="1" min="6" max="6"/>
  </cols>
  <sheetData>
    <row r="1">
      <c r="A1" s="54" t="inlineStr">
        <is>
          <t>BẢN ĐỒ CHU KỲ VÀ ĐỘ NHẠY CỦA DOANH THU / LỢI NHUẬN THEO NGÀNH</t>
        </is>
      </c>
    </row>
    <row r="2"/>
    <row r="3">
      <c r="A3" s="2" t="inlineStr">
        <is>
          <t>Hệ thống hóa Cây Động Lực, Cơ Chế Gây Trễ và 5 Chỉ Báo Xác Nhận Đáy Chu Kỳ (Theo Mục 2 &amp; Mục 9.5 của Tài Liệu)</t>
        </is>
      </c>
    </row>
    <row r="5">
      <c r="A5" s="3" t="inlineStr">
        <is>
          <t>1. BẢN ĐỒ ĐỘ TRỄ VÀ CƠ CHẾ TÁC ĐỘNG THEO NGÀNH (MỤC 9.5)</t>
        </is>
      </c>
    </row>
    <row r="6" ht="25" customHeight="1">
      <c r="A6" s="30" t="inlineStr">
        <is>
          <t>Ngành Trọng Tâm</t>
        </is>
      </c>
      <c r="B6" s="30" t="inlineStr">
        <is>
          <t>Động Lực Cốt Lõi Cần Lượng Hóa</t>
        </is>
      </c>
      <c r="C6" s="30" t="inlineStr">
        <is>
          <t>Cơ Chế Gây Trễ (Time Lag Mechanism)</t>
        </is>
      </c>
      <c r="D6" s="30" t="inlineStr">
        <is>
          <t>Khoảng Trễ Lịch Sử</t>
        </is>
      </c>
      <c r="E6" s="30" t="inlineStr">
        <is>
          <t>Quy Tắc Giải Ngân Theo Khung</t>
        </is>
      </c>
      <c r="F6" s="30" t="inlineStr">
        <is>
          <t>Tiêu Chí Cổng Riêng Biệt</t>
        </is>
      </c>
    </row>
    <row r="7">
      <c r="A7" s="5" t="inlineStr">
        <is>
          <t>Thép &amp; Vật liệu</t>
        </is>
      </c>
      <c r="B7" s="6" t="inlineStr">
        <is>
          <t>Spread giá bán (HRC, Thép XD) trừ chi phí quặng sắt, than cốc, phế liệu; Tỷ lệ sử dụng công suất.</t>
        </is>
      </c>
      <c r="C7" s="6" t="inlineStr">
        <is>
          <t>Hàng tồn kho giá cao mua trước 1-2 quý làm chậm sự cải thiện của biên gộp.</t>
        </is>
      </c>
      <c r="D7" s="6" t="inlineStr">
        <is>
          <t>Trễ 1 - 2 quý</t>
        </is>
      </c>
      <c r="E7" s="6" t="inlineStr">
        <is>
          <t>Mua 1/3 khi spread tạo đáy; Mua 1/3 khi biên gộp phục hồi 2 quý; 1/3 khi doanh thu tăng.</t>
        </is>
      </c>
      <c r="F7" s="6" t="inlineStr">
        <is>
          <t>Nợ ròng / EBITDA chuẩn hóa &lt;= 3x ngay cả khi spread rơi về đáy chu kỳ.</t>
        </is>
      </c>
    </row>
    <row r="8">
      <c r="A8" s="5" t="inlineStr">
        <is>
          <t>Ngân hàng</t>
        </is>
      </c>
      <c r="B8" s="6" t="inlineStr">
        <is>
          <t>NIM theo lãi suất điều hành; Tăng trưởng tín dụng; Tỷ lệ nợ xấu NPL và chi phí trích lập dự phòng.</t>
        </is>
      </c>
      <c r="C8" s="6" t="inlineStr">
        <is>
          <t>Nợ xấu thường bộc lộ trễ sau giai đoạn tăng trưởng tín dụng nóng hoặc lãi suất tăng cao.</t>
        </is>
      </c>
      <c r="D8" s="6" t="inlineStr">
        <is>
          <t>Trễ 6 - 12 quý</t>
        </is>
      </c>
      <c r="E8" s="6" t="inlineStr">
        <is>
          <t>Chỉ mua khi nợ xấu hình thành mới giảm 2 quý liên tiếp, tỷ lệ bao phủ nợ xấu tăng trở lại.</t>
        </is>
      </c>
      <c r="F8" s="6" t="inlineStr">
        <is>
          <t>Phơi nhiễm BĐS tổng hợp trong tầm kiểm soát; Tỷ lệ bao phủ nợ xấu &gt; 100%.</t>
        </is>
      </c>
    </row>
    <row r="9">
      <c r="A9" s="5" t="inlineStr">
        <is>
          <t>Hóa chất &amp; Phân bón</t>
        </is>
      </c>
      <c r="B9" s="6" t="inlineStr">
        <is>
          <t>Spread giá Urê, DAP, Hóa chất trừ giá khí, than, lưu huỳnh; Tỷ giá và chính sách xuất khẩu.</t>
        </is>
      </c>
      <c r="C9" s="6" t="inlineStr">
        <is>
          <t>Độ trễ hàng tồn kho nguyên liệu và yếu tố mùa vụ nông nghiệp (vụ Đông Xuân, Hè Thu).</t>
        </is>
      </c>
      <c r="D9" s="6" t="inlineStr">
        <is>
          <t>Trễ 1 - 2 quý (vài tháng)</t>
        </is>
      </c>
      <c r="E9" s="6" t="inlineStr">
        <is>
          <t>Chờ giá thế giới tạo đáy sau cao hơn đáy trước 2 quý liên tiếp; Kiểm tra độ phủ cổ tức.</t>
        </is>
      </c>
      <c r="F9" s="6" t="inlineStr">
        <is>
          <t>Tự chủ nguồn nguyên liệu (khí, than, apatit); Cổ tức tiền mặt bền vững qua chu kỳ.</t>
        </is>
      </c>
    </row>
    <row r="10">
      <c r="A10" s="5" t="inlineStr">
        <is>
          <t>Bán lẻ &amp; Tiêu dùng</t>
        </is>
      </c>
      <c r="B10" s="6" t="inlineStr">
        <is>
          <t>Tăng trưởng cùng cửa hàng (SSSG); Biên EBIT mỗi cửa hàng; Vòng quay tồn kho; Thu nhập khả dụng.</t>
        </is>
      </c>
      <c r="C10" s="6" t="inlineStr">
        <is>
          <t>Doanh thu phản ứng ngay với sức mua, nhưng lợi nhuận trễ hơn do chi phí cố định (mặt bằng, nhân sự).</t>
        </is>
      </c>
      <c r="D10" s="6" t="inlineStr">
        <is>
          <t>Lợi nhuận trễ doanh thu do đòn bẩy hoạt động</t>
        </is>
      </c>
      <c r="E10" s="6" t="inlineStr">
        <is>
          <t>Xác nhận khi SSSG chạm đáy và tăng 2 quý liên tiếp; Hàng tồn kho cũ đã được trích lập sạch.</t>
        </is>
      </c>
      <c r="F10" s="6" t="inlineStr">
        <is>
          <t>Nợ ròng / EBITDA sau thuê &lt;= 2.5 - 3x; Phép thử chất lượng tăng trưởng không mua bằng vốn.</t>
        </is>
      </c>
    </row>
    <row r="11">
      <c r="A11" s="5" t="inlineStr">
        <is>
          <t>Bất động sản dân dụng</t>
        </is>
      </c>
      <c r="B11" s="6" t="inlineStr">
        <is>
          <t>Lãi suất vay mua nhà; Tiến độ pháp lý dự án; Mở bán mới và tiến độ thu tiền từ khách hàng.</t>
        </is>
      </c>
      <c r="C11" s="6" t="inlineStr">
        <is>
          <t>Chu kỳ từ lúc mở bán, xây dựng đến khi nghiệm thu bàn giao nhà mới được ghi nhận doanh thu.</t>
        </is>
      </c>
      <c r="D11" s="6" t="inlineStr">
        <is>
          <t>Trễ 1 - 3 năm</t>
        </is>
      </c>
      <c r="E11" s="6" t="inlineStr">
        <is>
          <t>Theo dõi dòng tiền người mua trả tiền trước; Chỉ mua khi pháp lý dự án sạch và nợ trái phiếu an toàn.</t>
        </is>
      </c>
      <c r="F11" s="6" t="inlineStr">
        <is>
          <t>Nợ vay / Vốn chủ &lt; 1.0; Tiền mặt đủ trang trải nợ đáo hạn trong 12-24 tháng.</t>
        </is>
      </c>
    </row>
    <row r="12">
      <c r="A12" s="5" t="inlineStr">
        <is>
          <t>Dầu khí &amp; Dịch vụ</t>
        </is>
      </c>
      <c r="B12" s="6" t="inlineStr">
        <is>
          <t>Giá dầu Brent (với độ trễ); Khối lượng công việc giàn khoan (backlog); Quyết định FID dự án lớn.</t>
        </is>
      </c>
      <c r="C12" s="6" t="inlineStr">
        <is>
          <t>Hợp đồng khoan và dịch vụ kỹ thuật thường ký cố định 1-2 năm, giá thuê giàn trễ theo giá dầu.</t>
        </is>
      </c>
      <c r="D12" s="6" t="inlineStr">
        <is>
          <t>Trễ 6 - 12 tháng</t>
        </is>
      </c>
      <c r="E12" s="6" t="inlineStr">
        <is>
          <t>Mua khi giá thuê ngày giàn khoan bắt đầu tăng và công suất sử dụng giàn đạt &gt; 90%.</t>
        </is>
      </c>
      <c r="F12" s="6" t="inlineStr">
        <is>
          <t>Khả năng sống sót tài chính qua chu kỳ giá dầu giảm; Lịch sử chia cổ tức tiền mặt.</t>
        </is>
      </c>
    </row>
    <row r="15">
      <c r="A15" s="3" t="inlineStr">
        <is>
          <t>2. NGUYÊN TẮC XÁC NHẬN ĐÁY CHU KỲ (CẦN ÍT NHẤT 3/5 CHỈ BÁO - THEO MỤC 9.5)</t>
        </is>
      </c>
    </row>
    <row r="16" ht="25" customHeight="1">
      <c r="A16" s="30" t="inlineStr">
        <is>
          <t>Chỉ Báo Tạo Đáy</t>
        </is>
      </c>
      <c r="B16" s="30" t="inlineStr">
        <is>
          <t>Bằng Chứng Định Lượng Cần Tìm</t>
        </is>
      </c>
      <c r="C16" s="30" t="inlineStr">
        <is>
          <t>Trạng Thái Xác Nhận</t>
        </is>
      </c>
      <c r="D16" s="30" t="inlineStr">
        <is>
          <t>Ý Nghĩa Quyết Định Đầu Tư</t>
        </is>
      </c>
      <c r="E16" s="30" t="inlineStr">
        <is>
          <t>Cảnh Báo Rủi Ro</t>
        </is>
      </c>
    </row>
    <row r="17">
      <c r="A17" s="5" t="inlineStr">
        <is>
          <t>1. Giá / Spread Dẫn Dắt</t>
        </is>
      </c>
      <c r="B17" s="6" t="inlineStr">
        <is>
          <t>Giá sản phẩm hoặc spread đầu ra trừ đầu vào tạo đáy sau cao hơn đáy trước ít nhất 2 quý liên tiếp.</t>
        </is>
      </c>
      <c r="C17" s="5" t="inlineStr">
        <is>
          <t>Tín hiệu sớm nhất</t>
        </is>
      </c>
      <c r="D17" s="6" t="inlineStr">
        <is>
          <t>Xác nhận áp lực giảm giá đã kết thúc, biên gộp chuẩn bị hồi phục.</t>
        </is>
      </c>
      <c r="E17" s="6" t="inlineStr">
        <is>
          <t>Tránh nhầm với một nhịp hồi phục ngắn hạn (Dead Cat Bounce).</t>
        </is>
      </c>
    </row>
    <row r="18">
      <c r="A18" s="5" t="inlineStr">
        <is>
          <t>2. Tồn Kho Ngành</t>
        </is>
      </c>
      <c r="B18" s="6" t="inlineStr">
        <is>
          <t>Tồn kho toàn ngành và tại các đại lý phân phối giảm về mức trung bình hoặc dưới mức an toàn.</t>
        </is>
      </c>
      <c r="C18" s="5" t="inlineStr">
        <is>
          <t>Tín hiệu thanh lọc</t>
        </is>
      </c>
      <c r="D18" s="6" t="inlineStr">
        <is>
          <t>Thị trường đã tiêu hóa hết lượng hàng giá cao tích lũy từ chu kỳ trước.</t>
        </is>
      </c>
      <c r="E18" s="6" t="inlineStr">
        <is>
          <t>Nếu tồn kho vẫn tăng cao thì doanh nghiệp vẫn sẽ phải giảm giá bán xả hàng.</t>
        </is>
      </c>
    </row>
    <row r="19">
      <c r="A19" s="5" t="inlineStr">
        <is>
          <t>3. Backlog / Đơn Hàng Mới</t>
        </is>
      </c>
      <c r="B19" s="6" t="inlineStr">
        <is>
          <t>Khối lượng đơn đặt hàng mới hoặc hợp đồng backlog ngừng giảm và bắt đầu tăng trưởng trở lại.</t>
        </is>
      </c>
      <c r="C19" s="5" t="inlineStr">
        <is>
          <t>Tín hiệu cầu phục hồi</t>
        </is>
      </c>
      <c r="D19" s="6" t="inlineStr">
        <is>
          <t>Bảo đảm sản lượng tiêu thụ cho các quý tới, giúp tăng tỷ lệ sử dụng công suất.</t>
        </is>
      </c>
      <c r="E19" s="6" t="inlineStr">
        <is>
          <t>Cần kiểm tra độ tin cậy của hợp đồng, tránh đơn hàng ảo.</t>
        </is>
      </c>
    </row>
    <row r="20">
      <c r="A20" s="5" t="inlineStr">
        <is>
          <t>4. Thu Hẹp Nguồn Cung</t>
        </is>
      </c>
      <c r="B20" s="6" t="inlineStr">
        <is>
          <t>Các đối thủ yếu kém trong ngành buộc phải đóng cửa công suất, hoãn đầu tư nhà máy mới.</t>
        </is>
      </c>
      <c r="C20" s="5" t="inlineStr">
        <is>
          <t>Tín hiệu cân bằng cung-cầu</t>
        </is>
      </c>
      <c r="D20" s="6" t="inlineStr">
        <is>
          <t>Cạnh tranh hạ nhiệt, doanh nghiệp sống sót đầu ngành chiếm lĩnh thêm thị phần.</t>
        </is>
      </c>
      <c r="E20" s="6" t="inlineStr">
        <is>
          <t>Công suất đóng cửa có thể khởi động lại nhanh nếu rào cản tái gia nhập thấp.</t>
        </is>
      </c>
    </row>
    <row r="21">
      <c r="A21" s="5" t="inlineStr">
        <is>
          <t>5. Chính Sách Thực Thi</t>
        </is>
      </c>
      <c r="B21" s="6" t="inlineStr">
        <is>
          <t>Chính sách hỗ trợ (thuế chống bán phá giá, hạ lãi suất, đầu tư công) đã đi vào thực thi thực tế.</t>
        </is>
      </c>
      <c r="C21" s="5" t="inlineStr">
        <is>
          <t>Tín hiệu vĩ mô xác nhận</t>
        </is>
      </c>
      <c r="D21" s="6" t="inlineStr">
        <is>
          <t>Tạo bệ đỡ pháp lý và tài chính vững chắc thúc đẩy chu kỳ kinh doanh mới.</t>
        </is>
      </c>
      <c r="E21" s="6" t="inlineStr">
        <is>
          <t>Chính sách mới công bố trên giấy mà chưa triển khai thì chưa tính là đạt.</t>
        </is>
      </c>
    </row>
  </sheetData>
  <mergeCells count="2">
    <mergeCell ref="A3:G3"/>
    <mergeCell ref="A1:G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
  <sheetViews>
    <sheetView showGridLines="1" workbookViewId="0">
      <selection activeCell="A1" sqref="A1"/>
    </sheetView>
  </sheetViews>
  <sheetFormatPr baseColWidth="8" defaultRowHeight="15"/>
  <cols>
    <col width="10" customWidth="1" min="1" max="1"/>
    <col width="32" customWidth="1" min="2" max="2"/>
    <col width="26" customWidth="1" min="3" max="3"/>
    <col width="35" customWidth="1" min="4" max="4"/>
    <col width="20" customWidth="1" min="5" max="5"/>
    <col width="24" customWidth="1" min="6" max="6"/>
    <col width="18" customWidth="1" min="7" max="7"/>
    <col width="65" customWidth="1" min="8" max="8"/>
    <col width="40" customWidth="1" min="9" max="9"/>
  </cols>
  <sheetData>
    <row r="1">
      <c r="A1" s="54" t="inlineStr">
        <is>
          <t>RADAR SÓNG NGÀNH &amp; BẢN ĐỒ CHU KỲ TOÀN THỊ TRƯỜNG CHỨNG KHOÁN</t>
        </is>
      </c>
    </row>
    <row r="2"/>
    <row r="3">
      <c r="A3" s="2" t="inlineStr">
        <is>
          <t>Phân tích trạng thái Sóng, Động lực Chu kỳ, Tỷ lệ Cổ phiếu Đạt Chuẩn và P/E Thực Tế theo Thị Giá Khớp Lệnh Mới Nhất</t>
        </is>
      </c>
    </row>
    <row r="5">
      <c r="A5" s="3" t="inlineStr">
        <is>
          <t>1. BẢNG XẾP HẠNG TRẠNG THÁI SÓNG VÀ ĐỘNG LỰC CHU KỲ TOÀN BỘ CÁC NGÀNH</t>
        </is>
      </c>
    </row>
    <row r="6" ht="26" customHeight="1">
      <c r="A6" s="30" t="inlineStr">
        <is>
          <t>Thứ Tự</t>
        </is>
      </c>
      <c r="B6" s="30" t="inlineStr">
        <is>
          <t>Nhóm Ngành</t>
        </is>
      </c>
      <c r="C6" s="30" t="inlineStr">
        <is>
          <t>Đặc Tính Chu Kỳ</t>
        </is>
      </c>
      <c r="D6" s="30" t="inlineStr">
        <is>
          <t>Trạng Thái Sóng Hiện Tại</t>
        </is>
      </c>
      <c r="E6" s="30" t="inlineStr">
        <is>
          <t>Tỷ Lệ Tầng 1+2 (%)</t>
        </is>
      </c>
      <c r="F6" s="30" t="inlineStr">
        <is>
          <t>Tăng Trưởng LN Trung Vị</t>
        </is>
      </c>
      <c r="G6" s="30" t="inlineStr">
        <is>
          <t>P/E Thực Tế Trung Vị (x)</t>
        </is>
      </c>
      <c r="H6" s="30" t="inlineStr">
        <is>
          <t>Động Lực Dẫn Sóng / Yếu Tố Kích Hoạt</t>
        </is>
      </c>
      <c r="I6" s="30" t="inlineStr">
        <is>
          <t>Cổ Phiếu Đón Sóng Tiêu Biểu</t>
        </is>
      </c>
    </row>
    <row r="7">
      <c r="A7" s="43" t="n">
        <v>1</v>
      </c>
      <c r="B7" s="45" t="inlineStr">
        <is>
          <t>Tài chính (Ngân hàng, CK, BH)</t>
        </is>
      </c>
      <c r="C7" s="45" t="inlineStr">
        <is>
          <t>Chu kỳ tín dụng &amp; Tiền tệ</t>
        </is>
      </c>
      <c r="D7" s="11" t="inlineStr">
        <is>
          <t>SÓNG LỚN DẪN DẮT (Up-Cycle)</t>
        </is>
      </c>
      <c r="E7" s="55" t="n">
        <v>0.725</v>
      </c>
      <c r="F7" s="55" t="n">
        <v>0.132</v>
      </c>
      <c r="G7" s="56" t="n">
        <v>10.4</v>
      </c>
      <c r="H7" s="45" t="inlineStr">
        <is>
          <t>Tín dụng tăng tốc cuối năm, thanh khoản dồi dào, nâng hạng thị trường, nợ xấu tạo đỉnh</t>
        </is>
      </c>
      <c r="I7" s="45" t="inlineStr">
        <is>
          <t>VCB, CTG, TCB, ACB, HDB, MBB, VND, SSI</t>
        </is>
      </c>
    </row>
    <row r="8">
      <c r="A8" s="31" t="n">
        <v>2</v>
      </c>
      <c r="B8" s="33" t="inlineStr">
        <is>
          <t>Tiện ích (Điện, Nước, Khí)</t>
        </is>
      </c>
      <c r="C8" s="33" t="inlineStr">
        <is>
          <t>Phòng thủ &amp; Dòng tiền</t>
        </is>
      </c>
      <c r="D8" s="11" t="inlineStr">
        <is>
          <t>SÓNG BỀN VỮNG (Up-Cycle)</t>
        </is>
      </c>
      <c r="E8" s="57" t="n">
        <v>0.8</v>
      </c>
      <c r="F8" s="57" t="n">
        <v>0.17</v>
      </c>
      <c r="G8" s="58" t="n">
        <v>8.5</v>
      </c>
      <c r="H8" s="33" t="inlineStr">
        <is>
          <t>Quy hoạch điện VIII, nhu cầu điện sản xuất bùng nổ, La Niña hỗ trợ thủy điện, FCF dồi dào</t>
        </is>
      </c>
      <c r="I8" s="33" t="inlineStr">
        <is>
          <t>POW, BWE, PGV, REE, IDC, TMP, DRL, QTP</t>
        </is>
      </c>
    </row>
    <row r="9">
      <c r="A9" s="43" t="n">
        <v>3</v>
      </c>
      <c r="B9" s="45" t="inlineStr">
        <is>
          <t>Vận tải, Cảng biển &amp; Logistics</t>
        </is>
      </c>
      <c r="C9" s="45" t="inlineStr">
        <is>
          <t>Chu kỳ thương mại</t>
        </is>
      </c>
      <c r="D9" s="15" t="inlineStr">
        <is>
          <t>SÓNG MỞ RỘNG (Up-Cycle)</t>
        </is>
      </c>
      <c r="E9" s="55" t="n">
        <v>0.7</v>
      </c>
      <c r="F9" s="55" t="n">
        <v>0.132</v>
      </c>
      <c r="G9" s="56" t="n">
        <v>8.4</v>
      </c>
      <c r="H9" s="45" t="inlineStr">
        <is>
          <t>Xuất nhập khẩu phục hồi mạnh, giá cước tàu biển &amp; tanker neo cao, FDI thúc đẩy cụm cảng</t>
        </is>
      </c>
      <c r="I9" s="45" t="inlineStr">
        <is>
          <t>HAH, VTO, PVP, GMD, CDN, DXP, SCS, PDN</t>
        </is>
      </c>
    </row>
    <row r="10">
      <c r="A10" s="31" t="n">
        <v>4</v>
      </c>
      <c r="B10" s="33" t="inlineStr">
        <is>
          <t>Thép &amp; Vật liệu xây dựng</t>
        </is>
      </c>
      <c r="C10" s="33" t="inlineStr">
        <is>
          <t>Chu kỳ hàng hóa</t>
        </is>
      </c>
      <c r="D10" s="15" t="inlineStr">
        <is>
          <t>SÓNG ĐÁY HỒI PHỤC (Bottom Confirmed)</t>
        </is>
      </c>
      <c r="E10" s="57" t="n">
        <v>0.615</v>
      </c>
      <c r="F10" s="57" t="n">
        <v>0.08799999999999999</v>
      </c>
      <c r="G10" s="58" t="n">
        <v>7.8</v>
      </c>
      <c r="H10" s="33" t="inlineStr">
        <is>
          <t>5 Chỉ báo tạo đáy hội tụ: Tồn kho sạch, đầu tư công thúc đẩy cầu, thuế chống bán phá giá HRC</t>
        </is>
      </c>
      <c r="I10" s="33" t="inlineStr">
        <is>
          <t>HPG (Dung Quất 2), HSG, NKG</t>
        </is>
      </c>
    </row>
    <row r="11">
      <c r="A11" s="43" t="n">
        <v>5</v>
      </c>
      <c r="B11" s="45" t="inlineStr">
        <is>
          <t>Bán lẻ &amp; Tiêu dùng</t>
        </is>
      </c>
      <c r="C11" s="45" t="inlineStr">
        <is>
          <t>Tăng trưởng tiêu dùng</t>
        </is>
      </c>
      <c r="D11" s="15" t="inlineStr">
        <is>
          <t>SÓNG ĐÓN ĐẦU PHỤC HỒI (Early Cycle)</t>
        </is>
      </c>
      <c r="E11" s="55" t="n">
        <v>0.545</v>
      </c>
      <c r="F11" s="55" t="n">
        <v>0</v>
      </c>
      <c r="G11" s="56" t="n">
        <v>11.5</v>
      </c>
      <c r="H11" s="45" t="inlineStr">
        <is>
          <t>Đòn bẩy hoạt động cao: Chi phí cố định đã tối ưu, SSSG chạm đáy bật tăng, mua sắm cuối năm</t>
        </is>
      </c>
      <c r="I11" s="45" t="inlineStr">
        <is>
          <t>MWG (Bách Hóa Xanh có lãi), FRT, DGW, VNM</t>
        </is>
      </c>
    </row>
    <row r="12">
      <c r="A12" s="31" t="n">
        <v>6</v>
      </c>
      <c r="B12" s="33" t="inlineStr">
        <is>
          <t>Bất động sản Khu công nghiệp</t>
        </is>
      </c>
      <c r="C12" s="33" t="inlineStr">
        <is>
          <t>Dòng vốn FDI</t>
        </is>
      </c>
      <c r="D12" s="33" t="inlineStr">
        <is>
          <t>SÓNG TĂNG TRƯỞNG DÀI HẠN</t>
        </is>
      </c>
      <c r="E12" s="57" t="n">
        <v>0.66</v>
      </c>
      <c r="F12" s="57" t="n">
        <v>0.15</v>
      </c>
      <c r="G12" s="58" t="n">
        <v>9.199999999999999</v>
      </c>
      <c r="H12" s="33" t="inlineStr">
        <is>
          <t>Dịch chuyển chuỗi cung ứng toàn cầu, giá thuê đất KCN tăng 5-10%/năm, quỹ đất sẵn sàng</t>
        </is>
      </c>
      <c r="I12" s="33" t="inlineStr">
        <is>
          <t>IDC, PHR, KBC, BCM, VGC, NTC</t>
        </is>
      </c>
    </row>
    <row r="13">
      <c r="A13" s="43" t="n">
        <v>7</v>
      </c>
      <c r="B13" s="45" t="inlineStr">
        <is>
          <t>Công nghệ thông tin &amp; Viễn thông</t>
        </is>
      </c>
      <c r="C13" s="45" t="inlineStr">
        <is>
          <t>Tăng trưởng dài hạn</t>
        </is>
      </c>
      <c r="D13" s="45" t="inlineStr">
        <is>
          <t>SÓNG CẤU TRÚC (Secular Wave)</t>
        </is>
      </c>
      <c r="E13" s="55" t="n">
        <v>0.53</v>
      </c>
      <c r="F13" s="55" t="n">
        <v>0.076</v>
      </c>
      <c r="G13" s="56" t="n">
        <v>12.1</v>
      </c>
      <c r="H13" s="45" t="inlineStr">
        <is>
          <t>Xuất khẩu phần mềm, trung tâm dữ liệu AI, chuyển đổi số doanh nghiệp, không phụ thuộc chu kỳ</t>
        </is>
      </c>
      <c r="I13" s="45" t="inlineStr">
        <is>
          <t>FPT, CTR, ELC</t>
        </is>
      </c>
    </row>
    <row r="14">
      <c r="A14" s="31" t="n">
        <v>8</v>
      </c>
      <c r="B14" s="33" t="inlineStr">
        <is>
          <t>Khai khoáng &amp; Kim loại màu</t>
        </is>
      </c>
      <c r="C14" s="33" t="inlineStr">
        <is>
          <t>Chu kỳ hàng hóa</t>
        </is>
      </c>
      <c r="D14" s="33" t="inlineStr">
        <is>
          <t>SÓNG CỤC BỘ THEO GIÁ</t>
        </is>
      </c>
      <c r="E14" s="57" t="n">
        <v>0.64</v>
      </c>
      <c r="F14" s="57" t="n">
        <v>0</v>
      </c>
      <c r="G14" s="58" t="n">
        <v>7</v>
      </c>
      <c r="H14" s="33" t="inlineStr">
        <is>
          <t>Giá vàng, vonfram, quặng kim loại thế giới biến động mạnh; định giá P/E thấp</t>
        </is>
      </c>
      <c r="I14" s="33" t="inlineStr">
        <is>
          <t>KSV, NNC, BKC, MDG, PVB</t>
        </is>
      </c>
    </row>
    <row r="15">
      <c r="A15" s="43" t="n">
        <v>9</v>
      </c>
      <c r="B15" s="45" t="inlineStr">
        <is>
          <t>Dầu khí &amp; Dịch vụ giàn khoan</t>
        </is>
      </c>
      <c r="C15" s="45" t="inlineStr">
        <is>
          <t>Chu kỳ năng lượng</t>
        </is>
      </c>
      <c r="D15" s="45" t="inlineStr">
        <is>
          <t>SÓNG DỰ ÁN LỚN (Catalyst)</t>
        </is>
      </c>
      <c r="E15" s="55" t="n">
        <v>0.585</v>
      </c>
      <c r="F15" s="55" t="n">
        <v>0.12</v>
      </c>
      <c r="G15" s="56" t="n">
        <v>9.4</v>
      </c>
      <c r="H15" s="45" t="inlineStr">
        <is>
          <t>Đại dự án Lô B Ô Môn triển khai, giá thuê giàn khoan tự nâng tăng, khối lượng công việc lớn</t>
        </is>
      </c>
      <c r="I15" s="45" t="inlineStr">
        <is>
          <t>PVD, PVS, PVB, GAS</t>
        </is>
      </c>
    </row>
    <row r="16">
      <c r="A16" s="31" t="n">
        <v>10</v>
      </c>
      <c r="B16" s="33" t="inlineStr">
        <is>
          <t>Nông nghiệp &amp; Chăn nuôi</t>
        </is>
      </c>
      <c r="C16" s="33" t="inlineStr">
        <is>
          <t>Chu kỳ giá lương thực</t>
        </is>
      </c>
      <c r="D16" s="33" t="inlineStr">
        <is>
          <t>SÓNG ĐẢO CHIỀU GIÁ</t>
        </is>
      </c>
      <c r="E16" s="57" t="n">
        <v>0.51</v>
      </c>
      <c r="F16" s="57" t="n">
        <v>0.215</v>
      </c>
      <c r="G16" s="58" t="n">
        <v>19.8</v>
      </c>
      <c r="H16" s="33" t="inlineStr">
        <is>
          <t>Giá heo phục hồi, chi phí thức ăn chăn nuôi giảm, hoàn nhập dự phòng</t>
        </is>
      </c>
      <c r="I16" s="33" t="inlineStr">
        <is>
          <t>HAG, BAF, DBC, NSC</t>
        </is>
      </c>
    </row>
    <row r="17">
      <c r="A17" s="43" t="n">
        <v>11</v>
      </c>
      <c r="B17" s="45" t="inlineStr">
        <is>
          <t>Bất động sản Dân dụng</t>
        </is>
      </c>
      <c r="C17" s="45" t="inlineStr">
        <is>
          <t>Chu kỳ tín dụng &amp; Lãi suất</t>
        </is>
      </c>
      <c r="D17" s="19" t="inlineStr">
        <is>
          <t>PHÂN HÓA SÂU (Chưa có sóng ngành)</t>
        </is>
      </c>
      <c r="E17" s="55" t="n">
        <v>0.395</v>
      </c>
      <c r="F17" s="55" t="n">
        <v>0.007</v>
      </c>
      <c r="G17" s="56" t="n">
        <v>10.2</v>
      </c>
      <c r="H17" s="45" t="inlineStr">
        <is>
          <t>Khó khăn pháp lý &amp; áp lực đáo hạn trái phiếu vẫn lớn; Chỉ có sóng ở mã sạch tài chính</t>
        </is>
      </c>
      <c r="I17" s="45" t="inlineStr">
        <is>
          <t>VHM, KDH, NLG, HDC</t>
        </is>
      </c>
    </row>
    <row r="18">
      <c r="A18" s="31" t="n">
        <v>12</v>
      </c>
      <c r="B18" s="33" t="inlineStr">
        <is>
          <t>Hóa chất &amp; Phân bón Urê</t>
        </is>
      </c>
      <c r="C18" s="33" t="inlineStr">
        <is>
          <t>Chu kỳ hàng hóa</t>
        </is>
      </c>
      <c r="D18" s="19" t="inlineStr">
        <is>
          <t>CẢNH BÁO ĐỈNH / CHỜ TẠO ĐÁY</t>
        </is>
      </c>
      <c r="E18" s="57" t="n">
        <v>0.44</v>
      </c>
      <c r="F18" s="57" t="n">
        <v>-0.15</v>
      </c>
      <c r="G18" s="58" t="n">
        <v>7.2</v>
      </c>
      <c r="H18" s="33" t="inlineStr">
        <is>
          <t>Urê đã qua đỉnh lợi nhuận Q2/2026, giá thế giới giảm; Chờ tích lũy spread tạo đáy</t>
        </is>
      </c>
      <c r="I18" s="33" t="inlineStr">
        <is>
          <t>DCM, DPM (Chờ tín hiệu), DGC (Chờ quặng)</t>
        </is>
      </c>
    </row>
  </sheetData>
  <mergeCells count="2">
    <mergeCell ref="A1:I2"/>
    <mergeCell ref="A3:I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6"/>
  <sheetViews>
    <sheetView showGridLines="1" workbookViewId="0">
      <selection activeCell="A1" sqref="A1"/>
    </sheetView>
  </sheetViews>
  <sheetFormatPr baseColWidth="8" defaultRowHeight="15"/>
  <cols>
    <col width="8" customWidth="1" min="1" max="1"/>
    <col width="12" customWidth="1" min="2" max="2"/>
    <col width="32" customWidth="1" min="3" max="3"/>
    <col width="8" customWidth="1" min="4" max="4"/>
    <col width="25" customWidth="1" min="5" max="5"/>
    <col width="15" customWidth="1" min="6" max="6"/>
    <col width="18" customWidth="1" min="7" max="7"/>
    <col width="16" customWidth="1" min="8" max="8"/>
    <col width="18" customWidth="1" min="9" max="9"/>
    <col width="22" customWidth="1" min="10" max="10"/>
    <col width="12" customWidth="1" min="11" max="11"/>
    <col width="12" customWidth="1" min="12" max="12"/>
    <col width="13" customWidth="1" min="13" max="13"/>
    <col width="28" customWidth="1" min="14" max="14"/>
    <col width="65" customWidth="1" min="15" max="15"/>
  </cols>
  <sheetData>
    <row r="1">
      <c r="A1" s="54" t="inlineStr">
        <is>
          <t>DANH MỤC CỖ MÁY IN TIỀN MẶT &amp; TÍCH SẢN CỔ TỨC DÀI HẠN (DẠNG THÁC MƠ TMP)</t>
        </is>
      </c>
    </row>
    <row r="2"/>
    <row r="3">
      <c r="A3" s="2" t="inlineStr">
        <is>
          <t>Tiêu chuẩn: Hết khấu hao TSCĐ | Biên ròng &gt;= 20% | Nợ vay = 0 | Tỷ suất cổ tức tiền mặt 7% - 15%/năm vượt trội gửi tiết kiệm</t>
        </is>
      </c>
    </row>
    <row r="5" ht="25" customHeight="1">
      <c r="A5" s="30" t="inlineStr">
        <is>
          <t>Hạng</t>
        </is>
      </c>
      <c r="B5" s="30" t="inlineStr">
        <is>
          <t>Mã CK</t>
        </is>
      </c>
      <c r="C5" s="30" t="inlineStr">
        <is>
          <t>Tên Doanh Nghiệp</t>
        </is>
      </c>
      <c r="D5" s="30" t="inlineStr">
        <is>
          <t>Sàn</t>
        </is>
      </c>
      <c r="E5" s="30" t="inlineStr">
        <is>
          <t>Ngành</t>
        </is>
      </c>
      <c r="F5" s="30" t="inlineStr">
        <is>
          <t>Thị Giá (VNĐ)</t>
        </is>
      </c>
      <c r="G5" s="30" t="inlineStr">
        <is>
          <t>Giá Mục Tiêu (VNĐ)</t>
        </is>
      </c>
      <c r="H5" s="30" t="inlineStr">
        <is>
          <t>Upside Giá (%)</t>
        </is>
      </c>
      <c r="I5" s="30" t="inlineStr">
        <is>
          <t>Tỷ Suất Cổ Tức (%/Giá)</t>
        </is>
      </c>
      <c r="J5" s="30" t="inlineStr">
        <is>
          <t>Lợi Nhuận Tổng Hợp 12T (%)</t>
        </is>
      </c>
      <c r="K5" s="30" t="inlineStr">
        <is>
          <t>P/E Thực Tế</t>
        </is>
      </c>
      <c r="L5" s="30" t="inlineStr">
        <is>
          <t>ROE (%)</t>
        </is>
      </c>
      <c r="M5" s="30" t="inlineStr">
        <is>
          <t>Biên Ròng (%)</t>
        </is>
      </c>
      <c r="N5" s="30" t="inlineStr">
        <is>
          <t>Cổ Tức Tiền Mặt Dự Kiến</t>
        </is>
      </c>
      <c r="O5" s="30" t="inlineStr">
        <is>
          <t>Đặc Điểm Cỗ Máy In Tiền &amp; Lợi Thế Hết Khấu Hao</t>
        </is>
      </c>
    </row>
    <row r="6">
      <c r="A6" s="31" t="n">
        <v>1</v>
      </c>
      <c r="B6" s="32" t="inlineStr">
        <is>
          <t>DRL</t>
        </is>
      </c>
      <c r="C6" s="33" t="inlineStr">
        <is>
          <t>CTCP Thủy điện - Điện Lực 3</t>
        </is>
      </c>
      <c r="D6" s="31" t="inlineStr">
        <is>
          <t>HOSE</t>
        </is>
      </c>
      <c r="E6" s="33" t="inlineStr">
        <is>
          <t>Tiện ích (Điện, Nước, Khí)</t>
        </is>
      </c>
      <c r="F6" s="37" t="n">
        <v>41000</v>
      </c>
      <c r="G6" s="37" t="n">
        <v>52000</v>
      </c>
      <c r="H6" s="59" t="n">
        <v>0.268</v>
      </c>
      <c r="I6" s="59" t="n">
        <v>0.116</v>
      </c>
      <c r="J6" s="60" t="n">
        <v>0.384</v>
      </c>
      <c r="K6" s="39" t="n">
        <v>0</v>
      </c>
      <c r="L6" s="36" t="n">
        <v>0</v>
      </c>
      <c r="M6" s="36" t="n">
        <v>0.3449</v>
      </c>
      <c r="N6" s="31" t="inlineStr">
        <is>
          <t>40% - 60%/năm (4.000 - 6.000 đ)</t>
        </is>
      </c>
      <c r="O6" s="33" t="inlineStr">
        <is>
          <t>Thủy điện Đrây Hlinh 2 hết khấu hao, biên ròng 50%, ROE 35%, cỗ máy in tiền trả cổ tức khủng.</t>
        </is>
      </c>
    </row>
  </sheetData>
  <mergeCells count="2">
    <mergeCell ref="A1:N2"/>
    <mergeCell ref="A3:N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5"/>
  <sheetViews>
    <sheetView showGridLines="1" workbookViewId="0">
      <selection activeCell="A1" sqref="A1"/>
    </sheetView>
  </sheetViews>
  <sheetFormatPr baseColWidth="8" defaultRowHeight="15"/>
  <cols>
    <col width="8" customWidth="1" min="1" max="1"/>
    <col width="12" customWidth="1" min="2" max="2"/>
    <col width="32" customWidth="1" min="3" max="3"/>
    <col width="28" customWidth="1" min="4" max="4"/>
    <col width="55" customWidth="1" min="5" max="5"/>
    <col width="22" customWidth="1" min="6" max="6"/>
    <col width="15" customWidth="1" min="7" max="7"/>
    <col width="18" customWidth="1" min="8" max="8"/>
    <col width="18" customWidth="1" min="9" max="9"/>
    <col width="35" customWidth="1" min="10" max="10"/>
  </cols>
  <sheetData>
    <row r="1">
      <c r="A1" s="54" t="inlineStr">
        <is>
          <t>BẢNG THEO DÕI CÁC SIÊU XÚC TÁC LÀM THAY ĐỔI MẠNH DOANH THU &amp; LỢI NHUẬN</t>
        </is>
      </c>
    </row>
    <row r="2"/>
    <row r="3">
      <c r="A3" s="2" t="inlineStr">
        <is>
          <t>Tích hợp Giá mục tiêu định chế &amp; Ước tính tác động lợi nhuận: Hết khấu hao | Nhân đôi công suất | Thoát lỗ hòa vốn | Bồi thường KCN</t>
        </is>
      </c>
    </row>
    <row r="5" ht="25" customHeight="1">
      <c r="A5" s="30" t="inlineStr">
        <is>
          <t>STT</t>
        </is>
      </c>
      <c r="B5" s="30" t="inlineStr">
        <is>
          <t>Mã CK</t>
        </is>
      </c>
      <c r="C5" s="30" t="inlineStr">
        <is>
          <t>Tên Doanh Nghiệp</t>
        </is>
      </c>
      <c r="D5" s="30" t="inlineStr">
        <is>
          <t>Nhóm Siêu Xúc Tác</t>
        </is>
      </c>
      <c r="E5" s="30" t="inlineStr">
        <is>
          <t>Chi Tiết Sự Kiện Xúc Tác</t>
        </is>
      </c>
      <c r="F5" s="30" t="inlineStr">
        <is>
          <t>Thời Điểm Điểm Rơi LN</t>
        </is>
      </c>
      <c r="G5" s="30" t="inlineStr">
        <is>
          <t>Thị Giá (VNĐ)</t>
        </is>
      </c>
      <c r="H5" s="30" t="inlineStr">
        <is>
          <t>Giá Mục Tiêu (VNĐ)</t>
        </is>
      </c>
      <c r="I5" s="30" t="inlineStr">
        <is>
          <t>Upside Kỳ Vọng (%)</t>
        </is>
      </c>
      <c r="J5" s="30" t="inlineStr">
        <is>
          <t>Khuyến Nghị Hành Động Định Chế</t>
        </is>
      </c>
    </row>
    <row r="6">
      <c r="A6" s="43" t="n">
        <v>1</v>
      </c>
      <c r="B6" s="44" t="inlineStr">
        <is>
          <t>HPG</t>
        </is>
      </c>
      <c r="C6" s="45" t="inlineStr">
        <is>
          <t>CTCP Tập đoàn Hòa Phát</t>
        </is>
      </c>
      <c r="D6" s="46" t="inlineStr">
        <is>
          <t>Nhân đôi công suất nhà máy</t>
        </is>
      </c>
      <c r="E6" s="45" t="inlineStr">
        <is>
          <t>Dung Quất 2 chạy thử và vận hành thương mại giai đoạn 1, nâng công suất thép thô từ 8.5 lên 14.1 triệu tấn/năm (+66%).</t>
        </is>
      </c>
      <c r="F6" s="45" t="inlineStr">
        <is>
          <t>Cuối 2026 - 2027</t>
        </is>
      </c>
      <c r="G6" s="49" t="n">
        <v>20100</v>
      </c>
      <c r="H6" s="49" t="n">
        <v>35000</v>
      </c>
      <c r="I6" s="61" t="n">
        <v>0.741</v>
      </c>
      <c r="J6" s="46" t="inlineStr">
        <is>
          <t>MUA MẠNH (Dung Quất 2 bùng nổ)</t>
        </is>
      </c>
    </row>
    <row r="7">
      <c r="A7" s="31" t="n">
        <v>2</v>
      </c>
      <c r="B7" s="32" t="inlineStr">
        <is>
          <t>MWG</t>
        </is>
      </c>
      <c r="C7" s="33" t="inlineStr">
        <is>
          <t>CTCP Đầu tư Thế Giới Di Động</t>
        </is>
      </c>
      <c r="D7" s="34" t="inlineStr">
        <is>
          <t>Điểm uốn thoát lỗ / Hòa vốn</t>
        </is>
      </c>
      <c r="E7" s="33" t="inlineStr">
        <is>
          <t>Chuỗi Bách Hóa Xanh vượt điểm hòa vốn, đạt lãi ròng 100-200 tỷ/quý sau khi tối ưu logistics và tăng doanh thu/cửa hàng.</t>
        </is>
      </c>
      <c r="F7" s="33" t="inlineStr">
        <is>
          <t>Hiện tại - 2027</t>
        </is>
      </c>
      <c r="G7" s="37" t="n">
        <v>75900</v>
      </c>
      <c r="H7" s="37" t="n">
        <v>106000</v>
      </c>
      <c r="I7" s="59" t="n">
        <v>0.397</v>
      </c>
      <c r="J7" s="34" t="inlineStr">
        <is>
          <t>MUA MẠNH (Bách Hóa Xanh sinh lời)</t>
        </is>
      </c>
    </row>
    <row r="8">
      <c r="A8" s="43" t="n">
        <v>3</v>
      </c>
      <c r="B8" s="44" t="inlineStr">
        <is>
          <t>DCM</t>
        </is>
      </c>
      <c r="C8" s="45" t="inlineStr">
        <is>
          <t>CTCP Phân bón Dầu khí Cà Mau</t>
        </is>
      </c>
      <c r="D8" s="46" t="inlineStr">
        <is>
          <t>Hết khấu hao TSCĐ đột biến</t>
        </is>
      </c>
      <c r="E8" s="45" t="inlineStr">
        <is>
          <t>Nhà máy đạm Cà Mau hoàn tất trích khấu hao toàn bộ máy móc thiết bị, chi phí khấu hao giảm khoảng 1.200 tỷ VNĐ/năm.</t>
        </is>
      </c>
      <c r="F8" s="45" t="inlineStr">
        <is>
          <t>Đang diễn ra (Từ 2024)</t>
        </is>
      </c>
      <c r="G8" s="49" t="n">
        <v>34850</v>
      </c>
      <c r="H8" s="49" t="n">
        <v>40000</v>
      </c>
      <c r="I8" s="61" t="n">
        <v>0.148</v>
      </c>
      <c r="J8" s="46" t="inlineStr">
        <is>
          <t>KHẢ QUAN (Hết khấu hao, cổ tức cao)</t>
        </is>
      </c>
    </row>
    <row r="9">
      <c r="A9" s="31" t="n">
        <v>4</v>
      </c>
      <c r="B9" s="32" t="inlineStr">
        <is>
          <t>PVS</t>
        </is>
      </c>
      <c r="C9" s="33" t="inlineStr">
        <is>
          <t>Tổng CTCP Dịch vụ Kỹ thuật Dầu khí</t>
        </is>
      </c>
      <c r="D9" s="34" t="inlineStr">
        <is>
          <t>Đại dự án Lô B &amp; Điện gió</t>
        </is>
      </c>
      <c r="E9" s="33" t="inlineStr">
        <is>
          <t>Trao thầu chính thức các gói thầu EPCI đại dự án khí điện Lô B Ô Môn (tổng mức 12 tỷ USD) và trúng thầu chân đế điện gió ngoài khơi.</t>
        </is>
      </c>
      <c r="F9" s="33" t="inlineStr">
        <is>
          <t>2026 - 2028</t>
        </is>
      </c>
      <c r="G9" s="37" t="n">
        <v>36800</v>
      </c>
      <c r="H9" s="37" t="n">
        <v>48000</v>
      </c>
      <c r="I9" s="59" t="n">
        <v>0.304</v>
      </c>
      <c r="J9" s="34" t="inlineStr">
        <is>
          <t>MUA MẠNH (Backlog kỷ lục &gt; 3 tỷ USD)</t>
        </is>
      </c>
    </row>
    <row r="10">
      <c r="A10" s="43" t="n">
        <v>5</v>
      </c>
      <c r="B10" s="44" t="inlineStr">
        <is>
          <t>PVD</t>
        </is>
      </c>
      <c r="C10" s="45" t="inlineStr">
        <is>
          <t>Tổng CTCP Khoan Dầu khí</t>
        </is>
      </c>
      <c r="D10" s="46" t="inlineStr">
        <is>
          <t>Ký lại hợp đồng giàn khoan giá cao</t>
        </is>
      </c>
      <c r="E10" s="45" t="inlineStr">
        <is>
          <t>Giá thuê giàn khoan tự nâng (Jack-up) tại Đông Nam Á đạt 120.000 - 140.000 USD/ngày. Toàn bộ giàn của PVD đã kín lịch đến 2027.</t>
        </is>
      </c>
      <c r="F10" s="45" t="inlineStr">
        <is>
          <t>Hiện tại - 2027</t>
        </is>
      </c>
      <c r="G10" s="49" t="n">
        <v>25200</v>
      </c>
      <c r="H10" s="49" t="n">
        <v>34000</v>
      </c>
      <c r="I10" s="61" t="n">
        <v>0.349</v>
      </c>
      <c r="J10" s="46" t="inlineStr">
        <is>
          <t>MUA MẠNH (Kín lịch giàn đến 2027)</t>
        </is>
      </c>
    </row>
    <row r="11">
      <c r="A11" s="31" t="n">
        <v>6</v>
      </c>
      <c r="B11" s="32" t="inlineStr">
        <is>
          <t>TMP</t>
        </is>
      </c>
      <c r="C11" s="33" t="inlineStr">
        <is>
          <t>CTCP Thủy điện Thác Mơ</t>
        </is>
      </c>
      <c r="D11" s="34" t="inlineStr">
        <is>
          <t>Hết khấu hao &amp; Máy in tiền mặt</t>
        </is>
      </c>
      <c r="E11" s="33" t="inlineStr">
        <is>
          <t>Nhà máy thủy điện 150MW gần như hết khấu hao, chi phí sản xuất mỗi kWh cực rẻ, hưởng lợi pha La Niña mưa lớn.</t>
        </is>
      </c>
      <c r="F11" s="33" t="inlineStr">
        <is>
          <t>Dài hạn bền vững</t>
        </is>
      </c>
      <c r="G11" s="37" t="n">
        <v>50800</v>
      </c>
      <c r="H11" s="37" t="n">
        <v>62000</v>
      </c>
      <c r="I11" s="59" t="n">
        <v>0.22</v>
      </c>
      <c r="J11" s="34" t="inlineStr">
        <is>
          <t>MUA TÍCH SẢN (Cổ tức tiền mặt 30-40%)</t>
        </is>
      </c>
    </row>
    <row r="12">
      <c r="A12" s="43" t="n">
        <v>7</v>
      </c>
      <c r="B12" s="44" t="inlineStr">
        <is>
          <t>BMP</t>
        </is>
      </c>
      <c r="C12" s="45" t="inlineStr">
        <is>
          <t>CTCP Nhựa Bình Minh</t>
        </is>
      </c>
      <c r="D12" s="46" t="inlineStr">
        <is>
          <t>Quản trị SCG Thái Lan &amp; Cổ tức</t>
        </is>
      </c>
      <c r="E12" s="45" t="inlineStr">
        <is>
          <t>Tập đoàn SCG tối ưu hóa toàn bộ chuỗi giá trị hạt nhựa PVC, chi phí bán hàng; doanh nghiệp không vay nợ, tiền gửi &gt;2.000 tỷ.</t>
        </is>
      </c>
      <c r="F12" s="45" t="inlineStr">
        <is>
          <t>Dài hạn bền vững</t>
        </is>
      </c>
      <c r="G12" s="49" t="n">
        <v>142100</v>
      </c>
      <c r="H12" s="49" t="n">
        <v>165000</v>
      </c>
      <c r="I12" s="61" t="n">
        <v>0.161</v>
      </c>
      <c r="J12" s="46" t="inlineStr">
        <is>
          <t>MUA TÍCH SẢN (Cổ tức tiền mặt 10-12k)</t>
        </is>
      </c>
    </row>
    <row r="13">
      <c r="A13" s="31" t="n">
        <v>8</v>
      </c>
      <c r="B13" s="32" t="inlineStr">
        <is>
          <t>SCS</t>
        </is>
      </c>
      <c r="C13" s="33" t="inlineStr">
        <is>
          <t>CTCP Dịch vụ Hàng hóa Sài Gòn</t>
        </is>
      </c>
      <c r="D13" s="34" t="inlineStr">
        <is>
          <t>Độc quyền tự nhiên &amp; Long Thành</t>
        </is>
      </c>
      <c r="E13" s="33" t="inlineStr">
        <is>
          <t>Độc quyền ga hàng hóa Tân Sơn Nhất, tham gia đầu tư nhà ga hàng hóa sân bay quốc tế Long Thành giai đoạn 1.</t>
        </is>
      </c>
      <c r="F13" s="33" t="inlineStr">
        <is>
          <t>Hiện tại - 2027</t>
        </is>
      </c>
      <c r="G13" s="37" t="n">
        <v>42900</v>
      </c>
      <c r="H13" s="37" t="n">
        <v>55000</v>
      </c>
      <c r="I13" s="59" t="n">
        <v>0.282</v>
      </c>
      <c r="J13" s="34" t="inlineStr">
        <is>
          <t>MUA TÍCH SẢN (Cổ tức tiền mặt 40-50%)</t>
        </is>
      </c>
    </row>
    <row r="14">
      <c r="A14" s="43" t="n">
        <v>9</v>
      </c>
      <c r="B14" s="44" t="inlineStr">
        <is>
          <t>PHR</t>
        </is>
      </c>
      <c r="C14" s="45" t="inlineStr">
        <is>
          <t>CTCP Cao su Phước Hòa</t>
        </is>
      </c>
      <c r="D14" s="46" t="inlineStr">
        <is>
          <t>Bồi thường đất &amp; Mở rộng KCN</t>
        </is>
      </c>
      <c r="E14" s="45" t="inlineStr">
        <is>
          <t>Bàn giao chuyển đổi đất cao su làm KCN VSIP 3 và KCN Nam Tân Uyên 3, thu về hàng nghìn tỷ tiền đền bù bồi thường và cổ tức liên kết.</t>
        </is>
      </c>
      <c r="F14" s="45" t="inlineStr">
        <is>
          <t>2026 - 2027</t>
        </is>
      </c>
      <c r="G14" s="49" t="n">
        <v>48500</v>
      </c>
      <c r="H14" s="49" t="n">
        <v>68000</v>
      </c>
      <c r="I14" s="61" t="n">
        <v>0.402</v>
      </c>
      <c r="J14" s="46" t="inlineStr">
        <is>
          <t>MUA MẠNH (Cổ tức tiền mặt đặc biệt)</t>
        </is>
      </c>
    </row>
    <row r="15">
      <c r="A15" s="31" t="n">
        <v>10</v>
      </c>
      <c r="B15" s="32" t="inlineStr">
        <is>
          <t>CTR</t>
        </is>
      </c>
      <c r="C15" s="33" t="inlineStr">
        <is>
          <t>Tổng CTCP Công trình Viettel</t>
        </is>
      </c>
      <c r="D15" s="34" t="inlineStr">
        <is>
          <t>Thương mại hóa 5G &amp; TowerCo</t>
        </is>
      </c>
      <c r="E15" s="33" t="inlineStr">
        <is>
          <t>Độc quyền xây lắp và vận hành hạ tầng mạng 5G cho Viettel, phát triển danh mục trạm phát sóng cho thuê (TowerCo).</t>
        </is>
      </c>
      <c r="F15" s="33" t="inlineStr">
        <is>
          <t>2026 - 2030</t>
        </is>
      </c>
      <c r="G15" s="37" t="n">
        <v>58500</v>
      </c>
      <c r="H15" s="37" t="n">
        <v>72000</v>
      </c>
      <c r="I15" s="59" t="n">
        <v>0.231</v>
      </c>
      <c r="J15" s="34" t="inlineStr">
        <is>
          <t>KHẢ QUAN (TowerCo tăng trưởng 20%)</t>
        </is>
      </c>
    </row>
  </sheetData>
  <mergeCells count="2">
    <mergeCell ref="A1:J2"/>
    <mergeCell ref="A3:J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2026-10-16T01:59:28Z</dcterms:created>
  <dcterms:modified xmlns:dcterms="http://purl.org/dc/terms/" xmlns:xsi="http://www.w3.org/2001/XMLSchema-instance" xsi:type="dcterms:W3CDTF">2026-10-16T01:59:28Z</dcterms:modified>
</cp:coreProperties>
</file>