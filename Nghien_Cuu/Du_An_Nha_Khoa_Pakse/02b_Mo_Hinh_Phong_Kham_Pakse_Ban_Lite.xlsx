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Tong_hop_3_Kich_ban" sheetId="1" state="visible" r:id="rId1"/>
    <sheet xmlns:r="http://schemas.openxmlformats.org/officeDocument/2006/relationships" name="Gia_dinh_Dau_vao" sheetId="2" state="visible" r:id="rId2"/>
    <sheet xmlns:r="http://schemas.openxmlformats.org/officeDocument/2006/relationships" name="Dong_tien_Chi_tiet" sheetId="3" state="visible" r:id="rId3"/>
    <sheet xmlns:r="http://schemas.openxmlformats.org/officeDocument/2006/relationships" name="CAPEX_Dau_tu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"/>
    <numFmt numFmtId="166" formatCode="0.0%"/>
    <numFmt numFmtId="167" formatCode="\$#,##0.00"/>
    <numFmt numFmtId="168" formatCode="#,##0.000"/>
    <numFmt numFmtId="169" formatCode="0.000"/>
  </numFmts>
  <fonts count="20">
    <font>
      <name val="Arial"/>
      <family val="2"/>
      <color theme="1"/>
      <sz val="11"/>
      <scheme val="minor"/>
    </font>
    <font>
      <name val="Segoe UI"/>
      <b val="1"/>
      <color rgb="FFFFFFFF"/>
      <sz val="15"/>
    </font>
    <font>
      <name val="Segoe UI"/>
      <i val="1"/>
      <color rgb="FFE2E8F0"/>
      <sz val="9"/>
    </font>
    <font>
      <name val="Segoe UI"/>
      <b val="1"/>
      <color rgb="FFFFFFFF"/>
      <sz val="11"/>
    </font>
    <font>
      <name val="Segoe UI"/>
      <b val="1"/>
      <color rgb="FFFFFFFF"/>
      <sz val="10"/>
    </font>
    <font>
      <name val="Segoe UI"/>
      <color rgb="FF1E293B"/>
      <sz val="10"/>
    </font>
    <font>
      <name val="Segoe UI"/>
      <b val="1"/>
      <color rgb="FF0C326B"/>
      <sz val="10"/>
    </font>
    <font>
      <name val="Segoe UI"/>
      <b val="1"/>
      <color rgb="FF0F172A"/>
      <sz val="10"/>
    </font>
    <font>
      <name val="Segoe UI"/>
      <b val="1"/>
      <color rgb="FF1E3A8A"/>
      <sz val="10"/>
    </font>
    <font>
      <name val="Segoe UI"/>
      <b val="1"/>
      <color rgb="FF991B1B"/>
      <sz val="11"/>
    </font>
    <font>
      <name val="Segoe UI"/>
      <i val="1"/>
      <color rgb="FF64748B"/>
      <sz val="9"/>
    </font>
    <font>
      <name val="Segoe UI"/>
      <color rgb="FFCBD5E1"/>
      <sz val="8"/>
    </font>
    <font>
      <name val="Segoe UI"/>
      <b val="1"/>
      <color rgb="FFFFFFFF"/>
      <sz val="9"/>
    </font>
    <font>
      <name val="Segoe UI"/>
      <b val="1"/>
      <color rgb="FF991B1B"/>
      <sz val="14"/>
    </font>
    <font>
      <name val="Segoe UI"/>
      <i val="1"/>
      <color rgb="FF64748B"/>
      <sz val="8"/>
    </font>
    <font>
      <name val="Segoe UI"/>
      <b val="1"/>
      <color rgb="FF1D4ED8"/>
      <sz val="14"/>
    </font>
    <font>
      <name val="Segoe UI"/>
      <b val="1"/>
      <color rgb="FF065F46"/>
      <sz val="14"/>
    </font>
    <font>
      <name val="Segoe UI"/>
      <b val="1"/>
      <color rgb="FF991B1B"/>
      <sz val="10"/>
    </font>
    <font>
      <name val="Segoe UI"/>
      <b val="1"/>
      <color rgb="FF1D4ED8"/>
      <sz val="10"/>
    </font>
    <font>
      <name val="Segoe UI"/>
      <b val="1"/>
      <color rgb="FF065F46"/>
      <sz val="10"/>
    </font>
  </fonts>
  <fills count="13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2563EB"/>
        <bgColor rgb="FF2563EB"/>
      </patternFill>
    </fill>
    <fill>
      <patternFill patternType="solid">
        <fgColor rgb="FF334155"/>
        <bgColor rgb="FF334155"/>
      </patternFill>
    </fill>
    <fill>
      <patternFill patternType="solid">
        <fgColor rgb="FFFEF9C3"/>
        <bgColor rgb="FFFEF9C3"/>
      </patternFill>
    </fill>
    <fill>
      <patternFill patternType="solid">
        <fgColor rgb="FFEFF6FF"/>
        <bgColor rgb="FFEFF6FF"/>
      </patternFill>
    </fill>
    <fill>
      <patternFill patternType="solid">
        <fgColor rgb="FFF8FAFC"/>
        <bgColor rgb="FFF8FAFC"/>
      </patternFill>
    </fill>
    <fill>
      <patternFill patternType="solid">
        <fgColor rgb="FF991B1B"/>
        <bgColor rgb="FF991B1B"/>
      </patternFill>
    </fill>
    <fill>
      <patternFill patternType="solid">
        <fgColor rgb="FF1D4ED8"/>
        <bgColor rgb="FF1D4ED8"/>
      </patternFill>
    </fill>
    <fill>
      <patternFill patternType="solid">
        <fgColor rgb="FF065F46"/>
        <bgColor rgb="FF065F46"/>
      </patternFill>
    </fill>
    <fill>
      <patternFill patternType="solid">
        <fgColor rgb="FFDCFCE7"/>
        <bgColor rgb="FFDCFCE7"/>
      </patternFill>
    </fill>
    <fill>
      <patternFill patternType="solid">
        <fgColor rgb="FFF1F5F9"/>
        <bgColor rgb="FFF1F5F9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64748B"/>
      </top>
      <bottom style="medium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CA8A04"/>
      </left>
      <right style="medium">
        <color rgb="FFCA8A04"/>
      </right>
      <top style="medium">
        <color rgb="FFCA8A04"/>
      </top>
      <bottom style="medium">
        <color rgb="FFCA8A0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/>
      <top style="medium">
        <color rgb="FF64748B"/>
      </top>
      <bottom/>
      <diagonal/>
    </border>
    <border>
      <left/>
      <right style="thin">
        <color rgb="FFCBD5E1"/>
      </right>
      <top style="medium">
        <color rgb="FF64748B"/>
      </top>
      <bottom/>
      <diagonal/>
    </border>
    <border>
      <left/>
      <right style="thin">
        <color rgb="FFCBD5E1"/>
      </right>
      <top style="medium">
        <color rgb="FF64748B"/>
      </top>
      <bottom style="medium">
        <color rgb="FF64748B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9" fillId="5" borderId="3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/>
    </xf>
    <xf numFmtId="164" fontId="17" fillId="6" borderId="4" applyAlignment="1" pivotButton="0" quotePrefix="0" xfId="0">
      <alignment horizontal="right" vertical="center"/>
    </xf>
    <xf numFmtId="164" fontId="18" fillId="6" borderId="4" applyAlignment="1" pivotButton="0" quotePrefix="0" xfId="0">
      <alignment horizontal="right" vertical="center"/>
    </xf>
    <xf numFmtId="164" fontId="19" fillId="6" borderId="4" applyAlignment="1" pivotButton="0" quotePrefix="0" xfId="0">
      <alignment horizontal="right" vertical="center"/>
    </xf>
    <xf numFmtId="0" fontId="7" fillId="6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/>
    </xf>
    <xf numFmtId="164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 wrapText="1"/>
    </xf>
    <xf numFmtId="165" fontId="5" fillId="0" borderId="2" applyAlignment="1" pivotButton="0" quotePrefix="0" xfId="0">
      <alignment horizontal="right" vertical="center"/>
    </xf>
    <xf numFmtId="166" fontId="5" fillId="7" borderId="2" applyAlignment="1" pivotButton="0" quotePrefix="0" xfId="0">
      <alignment horizontal="right" vertical="center"/>
    </xf>
    <xf numFmtId="0" fontId="17" fillId="6" borderId="4" applyAlignment="1" pivotButton="0" quotePrefix="0" xfId="0">
      <alignment horizontal="center" vertical="center"/>
    </xf>
    <xf numFmtId="0" fontId="18" fillId="6" borderId="4" applyAlignment="1" pivotButton="0" quotePrefix="0" xfId="0">
      <alignment horizontal="center" vertical="center"/>
    </xf>
    <xf numFmtId="0" fontId="19" fillId="6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/>
    </xf>
    <xf numFmtId="167" fontId="5" fillId="0" borderId="2" applyAlignment="1" pivotButton="0" quotePrefix="0" xfId="0">
      <alignment horizontal="right" vertical="center"/>
    </xf>
    <xf numFmtId="4" fontId="6" fillId="5" borderId="3" applyAlignment="1" pivotButton="0" quotePrefix="0" xfId="0">
      <alignment horizontal="right" vertical="center"/>
    </xf>
    <xf numFmtId="168" fontId="5" fillId="0" borderId="2" applyAlignment="1" pivotButton="0" quotePrefix="0" xfId="0">
      <alignment horizontal="right" vertical="center"/>
    </xf>
    <xf numFmtId="166" fontId="6" fillId="5" borderId="3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3" fontId="6" fillId="5" borderId="3" applyAlignment="1" pivotButton="0" quotePrefix="0" xfId="0">
      <alignment horizontal="right" vertical="center"/>
    </xf>
    <xf numFmtId="164" fontId="6" fillId="5" borderId="3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164" fontId="8" fillId="6" borderId="2" applyAlignment="1" pivotButton="0" quotePrefix="0" xfId="0">
      <alignment horizontal="right" vertical="center"/>
    </xf>
    <xf numFmtId="167" fontId="7" fillId="6" borderId="2" applyAlignment="1" pivotButton="0" quotePrefix="0" xfId="0">
      <alignment horizontal="right" vertical="center"/>
    </xf>
    <xf numFmtId="167" fontId="6" fillId="5" borderId="3" applyAlignment="1" pivotButton="0" quotePrefix="0" xfId="0">
      <alignment horizontal="right" vertical="center"/>
    </xf>
    <xf numFmtId="3" fontId="5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right" vertical="center"/>
    </xf>
    <xf numFmtId="167" fontId="9" fillId="6" borderId="4" applyAlignment="1" pivotButton="0" quotePrefix="0" xfId="0">
      <alignment horizontal="right" vertical="center"/>
    </xf>
    <xf numFmtId="164" fontId="9" fillId="6" borderId="4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6" fontId="6" fillId="5" borderId="3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pivotButton="0" quotePrefix="0" xfId="0"/>
    <xf numFmtId="164" fontId="7" fillId="7" borderId="2" pivotButton="0" quotePrefix="0" xfId="0"/>
    <xf numFmtId="166" fontId="5" fillId="0" borderId="2" applyAlignment="1" pivotButton="0" quotePrefix="0" xfId="0">
      <alignment horizontal="center" vertical="center"/>
    </xf>
    <xf numFmtId="169" fontId="5" fillId="0" borderId="2" applyAlignment="1" pivotButton="0" quotePrefix="0" xfId="0">
      <alignment horizontal="center" vertical="center"/>
    </xf>
    <xf numFmtId="164" fontId="7" fillId="6" borderId="4" applyAlignment="1" pivotButton="0" quotePrefix="0" xfId="0">
      <alignment horizontal="right" vertical="center"/>
    </xf>
    <xf numFmtId="164" fontId="7" fillId="11" borderId="2" applyAlignment="1" pivotButton="0" quotePrefix="0" xfId="0">
      <alignment horizontal="right" vertical="center"/>
    </xf>
    <xf numFmtId="166" fontId="7" fillId="11" borderId="2" applyAlignment="1" pivotButton="0" quotePrefix="0" xfId="0">
      <alignment horizontal="right" vertical="center"/>
    </xf>
    <xf numFmtId="167" fontId="7" fillId="0" borderId="2" applyAlignment="1" pivotButton="0" quotePrefix="0" xfId="0">
      <alignment horizontal="right" vertical="center"/>
    </xf>
    <xf numFmtId="0" fontId="0" fillId="6" borderId="4" pivotButton="0" quotePrefix="0" xfId="0"/>
    <xf numFmtId="0" fontId="0" fillId="7" borderId="2" pivotButton="0" quotePrefix="0" xfId="0"/>
    <xf numFmtId="167" fontId="7" fillId="7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12" fillId="9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164" fontId="15" fillId="12" borderId="1" applyAlignment="1" pivotButton="0" quotePrefix="0" xfId="0">
      <alignment horizontal="center" vertical="center"/>
    </xf>
    <xf numFmtId="164" fontId="13" fillId="1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7" fillId="7" borderId="2" pivotButton="0" quotePrefix="0" xfId="0"/>
    <xf numFmtId="0" fontId="4" fillId="4" borderId="0" applyAlignment="1" pivotButton="0" quotePrefix="0" xfId="0">
      <alignment horizontal="center" vertical="center"/>
    </xf>
    <xf numFmtId="0" fontId="7" fillId="6" borderId="4" applyAlignment="1" pivotButton="0" quotePrefix="0" xfId="0">
      <alignment horizontal="left" vertical="center"/>
    </xf>
    <xf numFmtId="0" fontId="7" fillId="6" borderId="4" pivotButton="0" quotePrefix="0" xfId="0"/>
    <xf numFmtId="0" fontId="4" fillId="9" borderId="0" applyAlignment="1" pivotButton="0" quotePrefix="0" xfId="0">
      <alignment horizontal="center" vertical="center"/>
    </xf>
    <xf numFmtId="0" fontId="0" fillId="6" borderId="4" pivotButton="0" quotePrefix="0" xfId="0"/>
    <xf numFmtId="0" fontId="10" fillId="7" borderId="2" applyAlignment="1" pivotButton="0" quotePrefix="0" xfId="0">
      <alignment horizontal="left" vertical="center"/>
    </xf>
    <xf numFmtId="0" fontId="0" fillId="7" borderId="2" pivotButton="0" quotePrefix="0" xfId="0"/>
    <xf numFmtId="0" fontId="0" fillId="0" borderId="7" pivotButton="0" quotePrefix="0" xfId="0"/>
    <xf numFmtId="164" fontId="13" fillId="12" borderId="1" applyAlignment="1" pivotButton="0" quotePrefix="0" xfId="0">
      <alignment horizontal="center" vertical="center"/>
    </xf>
    <xf numFmtId="164" fontId="15" fillId="12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center" vertical="center"/>
    </xf>
    <xf numFmtId="164" fontId="17" fillId="6" borderId="4" applyAlignment="1" pivotButton="0" quotePrefix="0" xfId="0">
      <alignment horizontal="right" vertical="center"/>
    </xf>
    <xf numFmtId="164" fontId="18" fillId="6" borderId="4" applyAlignment="1" pivotButton="0" quotePrefix="0" xfId="0">
      <alignment horizontal="right" vertical="center"/>
    </xf>
    <xf numFmtId="164" fontId="19" fillId="6" borderId="4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166" fontId="5" fillId="7" borderId="2" applyAlignment="1" pivotButton="0" quotePrefix="0" xfId="0">
      <alignment horizontal="right" vertical="center"/>
    </xf>
    <xf numFmtId="167" fontId="5" fillId="0" borderId="2" applyAlignment="1" pivotButton="0" quotePrefix="0" xfId="0">
      <alignment horizontal="right" vertical="center"/>
    </xf>
    <xf numFmtId="168" fontId="5" fillId="0" borderId="2" applyAlignment="1" pivotButton="0" quotePrefix="0" xfId="0">
      <alignment horizontal="right" vertical="center"/>
    </xf>
    <xf numFmtId="166" fontId="6" fillId="5" borderId="3" applyAlignment="1" pivotButton="0" quotePrefix="0" xfId="0">
      <alignment horizontal="right" vertical="center"/>
    </xf>
    <xf numFmtId="164" fontId="6" fillId="5" borderId="3" applyAlignment="1" pivotButton="0" quotePrefix="0" xfId="0">
      <alignment horizontal="right" vertical="center"/>
    </xf>
    <xf numFmtId="164" fontId="8" fillId="6" borderId="2" applyAlignment="1" pivotButton="0" quotePrefix="0" xfId="0">
      <alignment horizontal="right" vertical="center"/>
    </xf>
    <xf numFmtId="167" fontId="7" fillId="6" borderId="2" applyAlignment="1" pivotButton="0" quotePrefix="0" xfId="0">
      <alignment horizontal="right" vertical="center"/>
    </xf>
    <xf numFmtId="167" fontId="6" fillId="5" borderId="3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167" fontId="9" fillId="6" borderId="4" applyAlignment="1" pivotButton="0" quotePrefix="0" xfId="0">
      <alignment horizontal="right" vertical="center"/>
    </xf>
    <xf numFmtId="164" fontId="9" fillId="6" borderId="4" applyAlignment="1" pivotButton="0" quotePrefix="0" xfId="0">
      <alignment horizontal="right" vertical="center"/>
    </xf>
    <xf numFmtId="166" fontId="6" fillId="5" borderId="3" applyAlignment="1" pivotButton="0" quotePrefix="0" xfId="0">
      <alignment horizontal="center" vertical="center"/>
    </xf>
    <xf numFmtId="164" fontId="7" fillId="7" borderId="2" pivotButton="0" quotePrefix="0" xfId="0"/>
    <xf numFmtId="166" fontId="5" fillId="0" borderId="2" applyAlignment="1" pivotButton="0" quotePrefix="0" xfId="0">
      <alignment horizontal="center" vertical="center"/>
    </xf>
    <xf numFmtId="169" fontId="5" fillId="0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7" fillId="6" borderId="4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164" fontId="7" fillId="11" borderId="2" applyAlignment="1" pivotButton="0" quotePrefix="0" xfId="0">
      <alignment horizontal="right" vertical="center"/>
    </xf>
    <xf numFmtId="166" fontId="7" fillId="11" borderId="2" applyAlignment="1" pivotButton="0" quotePrefix="0" xfId="0">
      <alignment horizontal="right" vertical="center"/>
    </xf>
    <xf numFmtId="167" fontId="7" fillId="0" borderId="2" applyAlignment="1" pivotButton="0" quotePrefix="0" xfId="0">
      <alignment horizontal="right" vertical="center"/>
    </xf>
    <xf numFmtId="167" fontId="7" fillId="7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opLeftCell="A45" workbookViewId="0">
      <selection activeCell="A1" sqref="A1:G1"/>
    </sheetView>
  </sheetViews>
  <sheetFormatPr baseColWidth="8" defaultRowHeight="14.25" outlineLevelCol="0"/>
  <cols>
    <col width="44" customWidth="1" style="69" min="1" max="1"/>
    <col width="22" customWidth="1" style="69" min="2" max="4"/>
    <col width="16" customWidth="1" style="69" min="5" max="5"/>
    <col width="52" customWidth="1" style="69" min="6" max="6"/>
    <col width="18" customWidth="1" style="69" min="7" max="7"/>
  </cols>
  <sheetData>
    <row r="1" ht="36" customHeight="1" s="69">
      <c r="A1" s="71" t="inlineStr">
        <is>
          <t>MÔ HÌNH DỰ TOÁN TÀI CHÍNH NHA KHOA PAKSE (CHAMPASAK, LÀO)</t>
        </is>
      </c>
    </row>
    <row r="2" ht="20.1" customHeight="1" s="69">
      <c r="A2" s="74" t="inlineStr">
        <is>
          <t>BẢNG SO SÁNH 3 KỊCH BẢN DOANH THU THEO NGÀY: MIN (80 TR) — KỲ VỌNG (140 TR) — MAX (200 TR/NGÀY)</t>
        </is>
      </c>
    </row>
    <row r="4" ht="24.95" customHeight="1" s="69">
      <c r="A4" s="1" t="inlineStr">
        <is>
          <t>CHỌN TIỀN TỆ HIỂN THỊ:</t>
        </is>
      </c>
      <c r="B4" s="2" t="inlineStr">
        <is>
          <t>VND</t>
        </is>
      </c>
      <c r="C4" s="1" t="inlineStr">
        <is>
          <t>Đơn vị tính:</t>
        </is>
      </c>
      <c r="D4" s="3">
        <f>IF(B4="VND","Triệu VNĐ",IF(B4="USD","USD","Triệu LAK"))</f>
        <v/>
      </c>
      <c r="E4" s="4" t="inlineStr">
        <is>
          <t>Tỷ giá áp dụng:</t>
        </is>
      </c>
      <c r="F4" s="5">
        <f>IF(B4="VND","1 USD = 25,882 VND",IF(B4="USD","Gốc USD","1 USD = 22,403 LAK"))</f>
        <v/>
      </c>
      <c r="G4" s="6">
        <f>IF($B$4="VND", 1, IF($B$4="USD", 1000000/Gia_dinh_Dau_vao!$C$6, Gia_dinh_Dau_vao!$C$7/Gia_dinh_Dau_vao!$C$6))</f>
        <v/>
      </c>
    </row>
    <row r="6" ht="18" customHeight="1" s="69">
      <c r="B6" s="67" t="inlineStr">
        <is>
          <t>KỊCH BẢN MIN (80 TRIỆU/NGÀY)</t>
        </is>
      </c>
      <c r="C6" s="88" t="n"/>
      <c r="D6" s="66" t="inlineStr">
        <is>
          <t>KỲ VỌNG (140 TRIỆU/NGÀY)</t>
        </is>
      </c>
      <c r="E6" s="88" t="n"/>
      <c r="F6" s="75" t="inlineStr">
        <is>
          <t>KỊCH BẢN MAX (200 TRIỆU/NGÀY)</t>
        </is>
      </c>
      <c r="G6" s="88" t="n"/>
    </row>
    <row r="7" ht="27.95" customHeight="1" s="69">
      <c r="B7" s="89">
        <f>B24</f>
        <v/>
      </c>
      <c r="C7" s="88" t="n"/>
      <c r="D7" s="90">
        <f>C24</f>
        <v/>
      </c>
      <c r="E7" s="88" t="n"/>
      <c r="F7" s="91">
        <f>D24</f>
        <v/>
      </c>
      <c r="G7" s="88" t="n"/>
    </row>
    <row r="8" ht="18" customHeight="1" s="69">
      <c r="B8" s="64">
        <f>"EBITDA: " &amp; TEXT(B24,"#,##0.0") &amp; " " &amp; $D$4 &amp; "/tháng | Hoàn vốn: 6 tháng"</f>
        <v/>
      </c>
      <c r="C8" s="88" t="n"/>
      <c r="D8" s="64">
        <f>"EBITDA: " &amp; TEXT(C24,"#,##0.0") &amp; " " &amp; $D$4 &amp; "/tháng | Hoàn vốn: 4 tháng"</f>
        <v/>
      </c>
      <c r="E8" s="88" t="n"/>
      <c r="F8" s="64">
        <f>"EBITDA: " &amp; TEXT(D24,"#,##0.0") &amp; " " &amp; $D$4 &amp; "/tháng | Hoàn vốn: 3 tháng"</f>
        <v/>
      </c>
      <c r="G8" s="88" t="n"/>
    </row>
    <row r="10" ht="26.1" customHeight="1" s="69">
      <c r="A10" s="7" t="inlineStr">
        <is>
          <t>CHỈ TIÊU TÀI CHÍNH &amp; VẬN HÀNH</t>
        </is>
      </c>
      <c r="B10" s="8" t="inlineStr">
        <is>
          <t>TIÊU CỰC (MIN)</t>
        </is>
      </c>
      <c r="C10" s="9" t="inlineStr">
        <is>
          <t>KỲ VỌNG (TRUNG BÌNH)</t>
        </is>
      </c>
      <c r="D10" s="10" t="inlineStr">
        <is>
          <t>TÍCH CỰC (MAX)</t>
        </is>
      </c>
      <c r="E10" s="7" t="inlineStr">
        <is>
          <t>ĐƠN VỊ</t>
        </is>
      </c>
      <c r="F10" s="7" t="inlineStr">
        <is>
          <t>CƠ SỞ TÍNH TOÁN &amp; GHI CHÚ</t>
        </is>
      </c>
    </row>
    <row r="11" ht="24" customHeight="1" s="69">
      <c r="A11" s="68" t="inlineStr">
        <is>
          <t>I. DOANH THU &amp; HIỆU SUẤT KHAI THÁC</t>
        </is>
      </c>
    </row>
    <row r="12" ht="21.95" customHeight="1" s="69">
      <c r="A12" s="82" t="inlineStr">
        <is>
          <t>Doanh thu mục tiêu 1 NGÀY</t>
        </is>
      </c>
      <c r="B12" s="92">
        <f>Gia_dinh_Dau_vao!$C$19*$G$4</f>
        <v/>
      </c>
      <c r="C12" s="93">
        <f>Gia_dinh_Dau_vao!$C$20*$G$4</f>
        <v/>
      </c>
      <c r="D12" s="94">
        <f>Gia_dinh_Dau_vao!$C$21*$G$4</f>
        <v/>
      </c>
      <c r="E12" s="15">
        <f>$D$4 &amp; "/ngày"</f>
        <v/>
      </c>
      <c r="F12" s="16" t="inlineStr">
        <is>
          <t>Mức doanh thu ngày mục tiêu (Min 80 tr, TB 140 tr, Max 200 tr)</t>
        </is>
      </c>
    </row>
    <row r="13" ht="21.95" customHeight="1" s="69">
      <c r="A13" s="82" t="inlineStr">
        <is>
          <t>Doanh thu mục tiêu 1 THÁNG (26 ngày làm việc)</t>
        </is>
      </c>
      <c r="B13" s="92">
        <f>Gia_dinh_Dau_vao!$C$22*$G$4</f>
        <v/>
      </c>
      <c r="C13" s="93">
        <f>Gia_dinh_Dau_vao!$C$23*$G$4</f>
        <v/>
      </c>
      <c r="D13" s="94">
        <f>Gia_dinh_Dau_vao!$C$24*$G$4</f>
        <v/>
      </c>
      <c r="E13" s="15">
        <f>$D$4 &amp; "/tháng"</f>
        <v/>
      </c>
      <c r="F13" s="16" t="n"/>
    </row>
    <row r="14" ht="21.95" customHeight="1" s="69">
      <c r="A14" s="17" t="inlineStr">
        <is>
          <t>Doanh thu thực tế Năm 1 (gồm ramp-up 5 tháng)</t>
        </is>
      </c>
      <c r="B14" s="95">
        <f>SUM(Dong_tien_Chi_tiet!G6:G17)*$G$4</f>
        <v/>
      </c>
      <c r="C14" s="95">
        <f>SUM(Dong_tien_Chi_tiet!R6:R17)*$G$4</f>
        <v/>
      </c>
      <c r="D14" s="95">
        <f>SUM(Dong_tien_Chi_tiet!AC6:AC17)*$G$4</f>
        <v/>
      </c>
      <c r="E14" s="19">
        <f>$D$4</f>
        <v/>
      </c>
      <c r="F14" s="20" t="inlineStr">
        <is>
          <t>Năm 1 tính thận trọng độ trễ thâm nhập (T1: 30%, T2: 45%, T3: 60%, T4: 75%, T5: 90%)</t>
        </is>
      </c>
    </row>
    <row r="15" ht="21.95" customHeight="1" s="69">
      <c r="A15" s="21" t="inlineStr">
        <is>
          <t>Doanh thu ổn định / năm (12 tháng đầy tải)</t>
        </is>
      </c>
      <c r="B15" s="96">
        <f>B13*12</f>
        <v/>
      </c>
      <c r="C15" s="96">
        <f>C13*12</f>
        <v/>
      </c>
      <c r="D15" s="96">
        <f>D13*12</f>
        <v/>
      </c>
      <c r="E15" s="23">
        <f>$D$4</f>
        <v/>
      </c>
      <c r="F15" s="24" t="inlineStr">
        <is>
          <t>Doanh thu 1 năm khi hoạt động trọn vẹn công suất ổn định</t>
        </is>
      </c>
    </row>
    <row r="16" ht="21.95" customHeight="1" s="69">
      <c r="A16" s="17" t="inlineStr">
        <is>
          <t>Lượt khám điều trị dự kiến / ngày</t>
        </is>
      </c>
      <c r="B16" s="97">
        <f>Gia_dinh_Dau_vao!$C$19/Gia_dinh_Dau_vao!$E$25</f>
        <v/>
      </c>
      <c r="C16" s="97">
        <f>Gia_dinh_Dau_vao!$C$20/Gia_dinh_Dau_vao!$E$25</f>
        <v/>
      </c>
      <c r="D16" s="97">
        <f>Gia_dinh_Dau_vao!$C$21/Gia_dinh_Dau_vao!$E$25</f>
        <v/>
      </c>
      <c r="E16" s="19" t="inlineStr">
        <is>
          <t>Lượt / ngày</t>
        </is>
      </c>
      <c r="F16" s="20" t="inlineStr">
        <is>
          <t>Ước tính theo doanh thu bình quân 239,45 USD (~6,2 triệu VNĐ) / lượt khám từ file gốc</t>
        </is>
      </c>
    </row>
    <row r="17" ht="24" customHeight="1" s="69">
      <c r="A17" s="68" t="inlineStr">
        <is>
          <t>II. CƠ CẤU CHI PHÍ HÀNG THÁNG (GIÁ ỔN ĐỊNH NĂM 1)</t>
        </is>
      </c>
    </row>
    <row r="18" ht="21.95" customHeight="1" s="69">
      <c r="A18" s="17" t="inlineStr">
        <is>
          <t>Chi phí biến đổi / tháng (Vật tư y tế + Labo)</t>
        </is>
      </c>
      <c r="B18" s="95">
        <f>B13*Gia_dinh_Dau_vao!$C$17</f>
        <v/>
      </c>
      <c r="C18" s="95">
        <f>C13*Gia_dinh_Dau_vao!$C$17</f>
        <v/>
      </c>
      <c r="D18" s="95">
        <f>D13*Gia_dinh_Dau_vao!$C$17</f>
        <v/>
      </c>
      <c r="E18" s="19">
        <f>$D$4</f>
        <v/>
      </c>
      <c r="F18" s="20" t="inlineStr">
        <is>
          <t>Định mức 20% doanh thu (vật tư tiêu hao, implant, răng sứ - Gia_dinh!C63:C70)</t>
        </is>
      </c>
    </row>
    <row r="19" ht="21.95" customHeight="1" s="69">
      <c r="A19" s="21" t="inlineStr">
        <is>
          <t>Chi phí cố định / tháng (Mặt bằng, lương, vận hành)</t>
        </is>
      </c>
      <c r="B19" s="96">
        <f>Gia_dinh_Dau_vao!$F$40*$G$4</f>
        <v/>
      </c>
      <c r="C19" s="96">
        <f>Gia_dinh_Dau_vao!$F$40*$G$4</f>
        <v/>
      </c>
      <c r="D19" s="96">
        <f>Gia_dinh_Dau_vao!$F$40*$G$4</f>
        <v/>
      </c>
      <c r="E19" s="23">
        <f>$D$4</f>
        <v/>
      </c>
      <c r="F19" s="24" t="inlineStr">
        <is>
          <t>Bộ máy gốc: 2 BS ($4k), 3 Phụ tá, Lễ tân, Sale, Quản lý, Mặt bằng 100m², MKT ($5k)... (~346,6 tr)</t>
        </is>
      </c>
    </row>
    <row r="20" ht="21.95" customHeight="1" s="69">
      <c r="A20" s="82" t="inlineStr">
        <is>
          <t>Tổng chi phí hoạt động / tháng</t>
        </is>
      </c>
      <c r="B20" s="92">
        <f>B18+B19</f>
        <v/>
      </c>
      <c r="C20" s="93">
        <f>C18+C19</f>
        <v/>
      </c>
      <c r="D20" s="94">
        <f>D18+D19</f>
        <v/>
      </c>
      <c r="E20" s="15">
        <f>$D$4</f>
        <v/>
      </c>
      <c r="F20" s="16">
        <f>Chi phí biến đổi + Chi phí cố định hàng tháng</f>
        <v/>
      </c>
    </row>
    <row r="21" ht="21.95" customHeight="1" s="69">
      <c r="A21" s="21" t="inlineStr">
        <is>
          <t>Tỷ lệ chi phí hoạt động / Doanh thu (%)</t>
        </is>
      </c>
      <c r="B21" s="98">
        <f>B20/B13</f>
        <v/>
      </c>
      <c r="C21" s="98">
        <f>C20/C13</f>
        <v/>
      </c>
      <c r="D21" s="98">
        <f>D20/D13</f>
        <v/>
      </c>
      <c r="E21" s="23" t="inlineStr">
        <is>
          <t>%</t>
        </is>
      </c>
      <c r="F21" s="24" t="inlineStr">
        <is>
          <t>Tỷ trọng tổng chi phí trên tổng doanh thu (chỉ chiếm ~27% - 37%)</t>
        </is>
      </c>
    </row>
    <row r="22" ht="24" customHeight="1" s="69">
      <c r="A22" s="68" t="inlineStr">
        <is>
          <t>III. LỢI NHUẬN &amp; HIỆU QUẢ HOẠT ĐỘNG</t>
        </is>
      </c>
    </row>
    <row r="23" ht="21.95" customHeight="1" s="69">
      <c r="A23" s="21" t="inlineStr">
        <is>
          <t>Lợi nhuận gộp / tháng</t>
        </is>
      </c>
      <c r="B23" s="96">
        <f>B13-B18</f>
        <v/>
      </c>
      <c r="C23" s="96">
        <f>C13-C18</f>
        <v/>
      </c>
      <c r="D23" s="96">
        <f>D13-D18</f>
        <v/>
      </c>
      <c r="E23" s="23">
        <f>$D$4</f>
        <v/>
      </c>
      <c r="F23" s="24" t="n"/>
    </row>
    <row r="24" ht="21.95" customHeight="1" s="69">
      <c r="A24" s="82" t="inlineStr">
        <is>
          <t>Lợi nhuận EBITDA / tháng (ổn định)</t>
        </is>
      </c>
      <c r="B24" s="92">
        <f>B23-B19</f>
        <v/>
      </c>
      <c r="C24" s="93">
        <f>C23-C19</f>
        <v/>
      </c>
      <c r="D24" s="94">
        <f>D23-D19</f>
        <v/>
      </c>
      <c r="E24" s="15">
        <f>$D$4</f>
        <v/>
      </c>
      <c r="F24" s="16" t="inlineStr">
        <is>
          <t>Lợi nhuận kinh doanh trước khấu hao, lãi vay &amp; thuế (Dòng tiền ròng/tháng)</t>
        </is>
      </c>
    </row>
    <row r="25" ht="21.95" customHeight="1" s="69">
      <c r="A25" s="21" t="inlineStr">
        <is>
          <t>Biên lợi nhuận EBITDA (%)</t>
        </is>
      </c>
      <c r="B25" s="98">
        <f>B24/B13</f>
        <v/>
      </c>
      <c r="C25" s="98">
        <f>C24/C13</f>
        <v/>
      </c>
      <c r="D25" s="98">
        <f>D24/D13</f>
        <v/>
      </c>
      <c r="E25" s="23" t="inlineStr">
        <is>
          <t>%</t>
        </is>
      </c>
      <c r="F25" s="24" t="n"/>
    </row>
    <row r="26" ht="21.95" customHeight="1" s="69">
      <c r="A26" s="17" t="inlineStr">
        <is>
          <t>Khấu hao tài sản / tháng (khấu hao 60 tháng)</t>
        </is>
      </c>
      <c r="B26" s="95">
        <f>(CAPEX_Dau_tu!$G$32/60)*$G$4</f>
        <v/>
      </c>
      <c r="C26" s="95">
        <f>(CAPEX_Dau_tu!$G$32/60)*$G$4</f>
        <v/>
      </c>
      <c r="D26" s="95">
        <f>(CAPEX_Dau_tu!$G$32/60)*$G$4</f>
        <v/>
      </c>
      <c r="E26" s="19">
        <f>$D$4</f>
        <v/>
      </c>
      <c r="F26" s="20" t="inlineStr">
        <is>
          <t>Khấu hao đường thẳng thiết bị, cải tạo, máy CT toàn cảnh ($88.230 USD/60 th ~ 38 tr)</t>
        </is>
      </c>
    </row>
    <row r="27" ht="21.95" customHeight="1" s="69">
      <c r="A27" s="21" t="inlineStr">
        <is>
          <t>Lợi nhuận trước thuế (EBT) / tháng</t>
        </is>
      </c>
      <c r="B27" s="96">
        <f>B24-B26</f>
        <v/>
      </c>
      <c r="C27" s="96">
        <f>C24-C26</f>
        <v/>
      </c>
      <c r="D27" s="96">
        <f>D24-D26</f>
        <v/>
      </c>
      <c r="E27" s="23">
        <f>$D$4</f>
        <v/>
      </c>
      <c r="F27" s="24">
        <f>EBITDA - Khấu hao tài sản</f>
        <v/>
      </c>
    </row>
    <row r="28" ht="21.95" customHeight="1" s="69">
      <c r="A28" s="17" t="inlineStr">
        <is>
          <t>Thuế thu nhập doanh nghiệp (20%) / tháng</t>
        </is>
      </c>
      <c r="B28" s="95">
        <f>IF(B27&gt;0, B27*Gia_dinh_Dau_vao!$C$11, 0)</f>
        <v/>
      </c>
      <c r="C28" s="95">
        <f>IF(C27&gt;0, C27*Gia_dinh_Dau_vao!$C$11, 0)</f>
        <v/>
      </c>
      <c r="D28" s="95">
        <f>IF(D27&gt;0, D27*Gia_dinh_Dau_vao!$C$11, 0)</f>
        <v/>
      </c>
      <c r="E28" s="19">
        <f>$D$4</f>
        <v/>
      </c>
      <c r="F28" s="20" t="inlineStr">
        <is>
          <t>Thuế TNDN Lào 20% trên thu nhập chịu thuế</t>
        </is>
      </c>
    </row>
    <row r="29" ht="21.95" customHeight="1" s="69">
      <c r="A29" s="82" t="inlineStr">
        <is>
          <t>Lợi nhuận sau thuế (NPAT) / tháng</t>
        </is>
      </c>
      <c r="B29" s="92">
        <f>B27-B28</f>
        <v/>
      </c>
      <c r="C29" s="93">
        <f>C27-C28</f>
        <v/>
      </c>
      <c r="D29" s="94">
        <f>D27-D28</f>
        <v/>
      </c>
      <c r="E29" s="15">
        <f>$D$4</f>
        <v/>
      </c>
      <c r="F29" s="16" t="inlineStr">
        <is>
          <t>Lợi nhuận ròng kế toán hàng tháng</t>
        </is>
      </c>
    </row>
    <row r="30" ht="21.95" customHeight="1" s="69">
      <c r="A30" s="17" t="inlineStr">
        <is>
          <t>Tổng lợi nhuận ròng Năm 1</t>
        </is>
      </c>
      <c r="B30" s="95">
        <f>SUM(Dong_tien_Chi_tiet!N6:N17)*$G$4</f>
        <v/>
      </c>
      <c r="C30" s="95">
        <f>SUM(Dong_tien_Chi_tiet!Y6:Y17)*$G$4</f>
        <v/>
      </c>
      <c r="D30" s="95">
        <f>SUM(Dong_tien_Chi_tiet!AJ6:AJ17)*$G$4</f>
        <v/>
      </c>
      <c r="E30" s="19">
        <f>$D$4</f>
        <v/>
      </c>
      <c r="F30" s="20" t="inlineStr">
        <is>
          <t>Lợi nhuận ròng cả năm đầu tiên (đã trừ giai đoạn tăng tốc và thuế)</t>
        </is>
      </c>
    </row>
    <row r="31" ht="21.95" customHeight="1" s="69">
      <c r="A31" s="21" t="inlineStr">
        <is>
          <t>Tổng lợi nhuận ròng 5 năm lũy kế</t>
        </is>
      </c>
      <c r="B31" s="96">
        <f>SUM(Dong_tien_Chi_tiet!N6:N65)*$G$4</f>
        <v/>
      </c>
      <c r="C31" s="96">
        <f>SUM(Dong_tien_Chi_tiet!Y6:Y65)*$G$4</f>
        <v/>
      </c>
      <c r="D31" s="96">
        <f>SUM(Dong_tien_Chi_tiet!AJ6:AJ65)*$G$4</f>
        <v/>
      </c>
      <c r="E31" s="23">
        <f>$D$4</f>
        <v/>
      </c>
      <c r="F31" s="24" t="inlineStr">
        <is>
          <t>Tổng lợi nhuận ròng tích lũy sau thuế cả 5 năm</t>
        </is>
      </c>
    </row>
    <row r="32" ht="24" customHeight="1" s="69">
      <c r="A32" s="68" t="inlineStr">
        <is>
          <t>IV. ĐIỂM HÒA VỐN &amp; ĐỘ AN TOÀN TÀI CHÍNH</t>
        </is>
      </c>
    </row>
    <row r="33" ht="21.95" customHeight="1" s="69">
      <c r="A33" s="82" t="inlineStr">
        <is>
          <t>Doanh thu hòa vốn vận hành / tháng (EBITDA = 0)</t>
        </is>
      </c>
      <c r="B33" s="92">
        <f>(Gia_dinh_Dau_vao!$F$40/(1-Gia_dinh_Dau_vao!$C$17))*$G$4</f>
        <v/>
      </c>
      <c r="C33" s="93">
        <f>(Gia_dinh_Dau_vao!$F$40/(1-Gia_dinh_Dau_vao!$C$17))*$G$4</f>
        <v/>
      </c>
      <c r="D33" s="94">
        <f>(Gia_dinh_Dau_vao!$F$40/(1-Gia_dinh_Dau_vao!$C$17))*$G$4</f>
        <v/>
      </c>
      <c r="E33" s="15">
        <f>$D$4</f>
        <v/>
      </c>
      <c r="F33" s="16" t="n"/>
    </row>
    <row r="34" ht="21.95" customHeight="1" s="69">
      <c r="A34" s="17" t="inlineStr">
        <is>
          <t>Doanh thu hòa vốn vận hành / ngày (26 ngày)</t>
        </is>
      </c>
      <c r="B34" s="95">
        <f>B33/Gia_dinh_Dau_vao!$C$18</f>
        <v/>
      </c>
      <c r="C34" s="95">
        <f>C33/Gia_dinh_Dau_vao!$C$18</f>
        <v/>
      </c>
      <c r="D34" s="95">
        <f>D33/Gia_dinh_Dau_vao!$C$18</f>
        <v/>
      </c>
      <c r="E34" s="19">
        <f>$D$4 &amp; "/ngày"</f>
        <v/>
      </c>
      <c r="F34" s="20" t="inlineStr">
        <is>
          <t>Chỉ cần thu ~16,66 triệu VNĐ/ngày là đã hòa vốn 100% chi phí hoạt động!</t>
        </is>
      </c>
    </row>
    <row r="35" ht="21.95" customHeight="1" s="69">
      <c r="A35" s="21" t="inlineStr">
        <is>
          <t>Tỷ lệ an toàn doanh thu (Margin of Safety)</t>
        </is>
      </c>
      <c r="B35" s="98">
        <f>(B13-B33)/B13</f>
        <v/>
      </c>
      <c r="C35" s="98">
        <f>(C13-C33)/C13</f>
        <v/>
      </c>
      <c r="D35" s="98">
        <f>(D13-D33)/D13</f>
        <v/>
      </c>
      <c r="E35" s="23" t="inlineStr">
        <is>
          <t>%</t>
        </is>
      </c>
      <c r="F35" s="24" t="inlineStr">
        <is>
          <t>Biên an toàn cực lớn (79% - 92%): Doanh thu sụt giảm 79% vẫn không lỗ!</t>
        </is>
      </c>
    </row>
    <row r="36" ht="24" customHeight="1" s="69">
      <c r="A36" s="68" t="inlineStr">
        <is>
          <t>V. VỐN ĐẦU TƯ, HOÀN VỐN &amp; ĐỊNH GIÁ (CAPEX, NPV, IRR)</t>
        </is>
      </c>
    </row>
    <row r="37" ht="21.95" customHeight="1" s="69">
      <c r="A37" s="82" t="inlineStr">
        <is>
          <t>Tổng vốn đầu tư ban đầu cần huy động</t>
        </is>
      </c>
      <c r="B37" s="92">
        <f>CAPEX_Dau_tu!$G$31*$G$4</f>
        <v/>
      </c>
      <c r="C37" s="93">
        <f>CAPEX_Dau_tu!$G$31*$G$4</f>
        <v/>
      </c>
      <c r="D37" s="94">
        <f>CAPEX_Dau_tu!$G$31*$G$4</f>
        <v/>
      </c>
      <c r="E37" s="15">
        <f>$D$4</f>
        <v/>
      </c>
      <c r="F37" s="16" t="inlineStr">
        <is>
          <t>Khớp 100% CAPEX gốc: $127.872,72 USD (~3.309,66 triệu VNĐ)</t>
        </is>
      </c>
    </row>
    <row r="38" ht="21.95" customHeight="1" s="69">
      <c r="A38" s="17" t="inlineStr">
        <is>
          <t>Lũy kế dòng tiền thuần sau 5 năm</t>
        </is>
      </c>
      <c r="B38" s="95">
        <f>Dong_tien_Chi_tiet!P65*$G$4</f>
        <v/>
      </c>
      <c r="C38" s="95">
        <f>Dong_tien_Chi_tiet!AA65*$G$4</f>
        <v/>
      </c>
      <c r="D38" s="95">
        <f>Dong_tien_Chi_tiet!AL65*$G$4</f>
        <v/>
      </c>
      <c r="E38" s="19">
        <f>$D$4</f>
        <v/>
      </c>
      <c r="F38" s="20" t="inlineStr">
        <is>
          <t>Dòng tiền thuần tích lũy sau 60 tháng (ĐÃ trừ vốn đầu tư ban đầu và thuế)</t>
        </is>
      </c>
    </row>
    <row r="39" ht="21.95" customHeight="1" s="69">
      <c r="A39" s="82" t="inlineStr">
        <is>
          <t>Thời gian thu hồi vốn đầu tư (Payback Period)</t>
        </is>
      </c>
      <c r="B39" s="27" t="inlineStr">
        <is>
          <t>6 tháng</t>
        </is>
      </c>
      <c r="C39" s="28" t="inlineStr">
        <is>
          <t>4 tháng</t>
        </is>
      </c>
      <c r="D39" s="29" t="inlineStr">
        <is>
          <t>3 tháng</t>
        </is>
      </c>
      <c r="E39" s="15" t="inlineStr">
        <is>
          <t>Tháng</t>
        </is>
      </c>
      <c r="F39" s="16" t="inlineStr">
        <is>
          <t>Thời điểm dòng tiền tích lũy vượt điểm 0 (Hoàn vốn siêu tốc ngay trong năm đầu!)</t>
        </is>
      </c>
    </row>
    <row r="40" ht="21.95" customHeight="1" s="69">
      <c r="A40" s="17" t="inlineStr">
        <is>
          <t>Giá trị hiện tại thuần (NPV 5 năm, WACC 15%)</t>
        </is>
      </c>
      <c r="B40" s="95">
        <f>Dong_tien_Chi_tiet!Q67*$G$4</f>
        <v/>
      </c>
      <c r="C40" s="95">
        <f>Dong_tien_Chi_tiet!AB67*$G$4</f>
        <v/>
      </c>
      <c r="D40" s="95">
        <f>Dong_tien_Chi_tiet!AM67*$G$4</f>
        <v/>
      </c>
      <c r="E40" s="19">
        <f>$D$4</f>
        <v/>
      </c>
      <c r="F40" s="20" t="inlineStr">
        <is>
          <t>Chiết khấu dòng tiền 15%/năm theo chuẩn thẩm định đầu tư</t>
        </is>
      </c>
    </row>
    <row r="41" ht="21.95" customHeight="1" s="69">
      <c r="A41" s="21" t="inlineStr">
        <is>
          <t>Tỷ suất sinh lời nội bộ (IRR năm)</t>
        </is>
      </c>
      <c r="B41" s="98">
        <f>Dong_tien_Chi_tiet!Q68</f>
        <v/>
      </c>
      <c r="C41" s="98">
        <f>Dong_tien_Chi_tiet!AB68</f>
        <v/>
      </c>
      <c r="D41" s="98">
        <f>Dong_tien_Chi_tiet!AM68</f>
        <v/>
      </c>
      <c r="E41" s="23" t="inlineStr">
        <is>
          <t>%</t>
        </is>
      </c>
      <c r="F41" s="24" t="inlineStr">
        <is>
          <t>Tỷ suất sinh lời nội bộ hàng năm vượt trội</t>
        </is>
      </c>
    </row>
    <row r="42" ht="27.95" customHeight="1" s="69">
      <c r="A42" s="17" t="inlineStr">
        <is>
          <t>ĐÁNH GIÁ CHUNG &amp; KHUYẾN NGHỊ</t>
        </is>
      </c>
      <c r="B42" s="30" t="inlineStr">
        <is>
          <t>Siêu hiệu quả: Thu 80 tr/ngày (~2,08 tỷ/tháng), hoàn vốn sau 6 tháng, EBITDA đạt 1,32 tỷ/tháng.</t>
        </is>
      </c>
      <c r="C42" s="30" t="inlineStr">
        <is>
          <t>Mục tiêu xuất sắc: Thu 140 tr/ngày (~3,64 tỷ/tháng), hoàn vốn sau 4 tháng, EBITDA đạt 2,57 tỷ/tháng.</t>
        </is>
      </c>
      <c r="D42" s="30" t="inlineStr">
        <is>
          <t>Kỷ lục doanh thu: Thu 200 tr/ngày (~5,20 tỷ/tháng), hoàn vốn ngay tháng thứ 3, EBITDA đạt 3,81 tỷ/tháng.</t>
        </is>
      </c>
      <c r="E42" s="19" t="n"/>
      <c r="F42" s="20" t="inlineStr">
        <is>
          <t>Khuyến nghị điều hành chiến lược cho Hội đồng quản trị &amp; Cổ đông</t>
        </is>
      </c>
    </row>
    <row r="44" ht="24" customHeight="1" s="69">
      <c r="A44" s="70" t="inlineStr">
        <is>
          <t>VI. BẢNG TRA CỨU ĐỒNG THỜI ĐA TIỀN TỆ (VND | USD | LAK) — KHÔNG CẦN CHUYỂN ĐỔI</t>
        </is>
      </c>
    </row>
    <row r="45" ht="21.95" customHeight="1" s="69">
      <c r="A45" s="7" t="inlineStr">
        <is>
          <t>CHỈ TIÊU THEN CHỐT</t>
        </is>
      </c>
      <c r="B45" s="7" t="inlineStr">
        <is>
          <t>MIN (Triệu VND)</t>
        </is>
      </c>
      <c r="C45" s="7" t="inlineStr">
        <is>
          <t>MIN (USD)</t>
        </is>
      </c>
      <c r="D45" s="7" t="inlineStr">
        <is>
          <t>TB (Triệu VND)</t>
        </is>
      </c>
      <c r="E45" s="7" t="inlineStr">
        <is>
          <t>TB (USD)</t>
        </is>
      </c>
      <c r="F45" s="7" t="inlineStr">
        <is>
          <t>MAX (Triệu VND)</t>
        </is>
      </c>
      <c r="G45" s="7" t="inlineStr">
        <is>
          <t>MAX (USD)</t>
        </is>
      </c>
    </row>
    <row r="46" ht="21.95" customHeight="1" s="69">
      <c r="A46" s="31" t="inlineStr">
        <is>
          <t>Doanh thu mục tiêu 1 NGÀY</t>
        </is>
      </c>
      <c r="B46" s="95">
        <f>Gia_dinh_Dau_vao!$C$19</f>
        <v/>
      </c>
      <c r="C46" s="99">
        <f>Gia_dinh_Dau_vao!$E$19</f>
        <v/>
      </c>
      <c r="D46" s="95">
        <f>Gia_dinh_Dau_vao!$C$20</f>
        <v/>
      </c>
      <c r="E46" s="99">
        <f>Gia_dinh_Dau_vao!$E$20</f>
        <v/>
      </c>
      <c r="F46" s="95">
        <f>Gia_dinh_Dau_vao!$C$21</f>
        <v/>
      </c>
      <c r="G46" s="99">
        <f>Gia_dinh_Dau_vao!$E$21</f>
        <v/>
      </c>
    </row>
    <row r="47" ht="21.95" customHeight="1" s="69">
      <c r="A47" s="31" t="inlineStr">
        <is>
          <t>Doanh thu mục tiêu 1 THÁNG (26 ngày)</t>
        </is>
      </c>
      <c r="B47" s="95">
        <f>Gia_dinh_Dau_vao!$C$22</f>
        <v/>
      </c>
      <c r="C47" s="99">
        <f>Gia_dinh_Dau_vao!$E$22</f>
        <v/>
      </c>
      <c r="D47" s="95">
        <f>Gia_dinh_Dau_vao!$C$23</f>
        <v/>
      </c>
      <c r="E47" s="99">
        <f>Gia_dinh_Dau_vao!$E$23</f>
        <v/>
      </c>
      <c r="F47" s="95">
        <f>Gia_dinh_Dau_vao!$C$24</f>
        <v/>
      </c>
      <c r="G47" s="99">
        <f>Gia_dinh_Dau_vao!$E$24</f>
        <v/>
      </c>
    </row>
    <row r="48" ht="21.95" customHeight="1" s="69">
      <c r="A48" s="31" t="inlineStr">
        <is>
          <t>Tổng chi phí hoạt động / tháng</t>
        </is>
      </c>
      <c r="B48" s="95">
        <f>Gia_dinh_Dau_vao!$C$22*Gia_dinh_Dau_vao!$C$17+Gia_dinh_Dau_vao!$F$40</f>
        <v/>
      </c>
      <c r="C48" s="99">
        <f>Gia_dinh_Dau_vao!$E$22*Gia_dinh_Dau_vao!$C$17+Gia_dinh_Dau_vao!$E$40</f>
        <v/>
      </c>
      <c r="D48" s="95">
        <f>Gia_dinh_Dau_vao!$C$23*Gia_dinh_Dau_vao!$C$17+Gia_dinh_Dau_vao!$F$40</f>
        <v/>
      </c>
      <c r="E48" s="99">
        <f>Gia_dinh_Dau_vao!$E$23*Gia_dinh_Dau_vao!$C$17+Gia_dinh_Dau_vao!$E$40</f>
        <v/>
      </c>
      <c r="F48" s="95">
        <f>Gia_dinh_Dau_vao!$C$24*Gia_dinh_Dau_vao!$C$17+Gia_dinh_Dau_vao!$F$40</f>
        <v/>
      </c>
      <c r="G48" s="99">
        <f>Gia_dinh_Dau_vao!$E$24*Gia_dinh_Dau_vao!$C$17+Gia_dinh_Dau_vao!$E$40</f>
        <v/>
      </c>
    </row>
    <row r="49" ht="21.95" customHeight="1" s="69">
      <c r="A49" s="31" t="inlineStr">
        <is>
          <t>Lợi nhuận EBITDA / tháng</t>
        </is>
      </c>
      <c r="B49" s="95">
        <f>B47-B48</f>
        <v/>
      </c>
      <c r="C49" s="99">
        <f>C47-C48</f>
        <v/>
      </c>
      <c r="D49" s="95">
        <f>D47-D48</f>
        <v/>
      </c>
      <c r="E49" s="99">
        <f>E47-E48</f>
        <v/>
      </c>
      <c r="F49" s="95">
        <f>F47-F48</f>
        <v/>
      </c>
      <c r="G49" s="99">
        <f>G47-G48</f>
        <v/>
      </c>
    </row>
    <row r="50" ht="21.95" customHeight="1" s="69">
      <c r="A50" s="31" t="inlineStr">
        <is>
          <t>Doanh thu hòa vốn / tháng</t>
        </is>
      </c>
      <c r="B50" s="95">
        <f>Gia_dinh_Dau_vao!$F$40/(1-Gia_dinh_Dau_vao!$C$17)</f>
        <v/>
      </c>
      <c r="C50" s="99">
        <f>Gia_dinh_Dau_vao!$E$40/(1-Gia_dinh_Dau_vao!$C$17)</f>
        <v/>
      </c>
      <c r="D50" s="95">
        <f>B50</f>
        <v/>
      </c>
      <c r="E50" s="99">
        <f>C50</f>
        <v/>
      </c>
      <c r="F50" s="95">
        <f>B50</f>
        <v/>
      </c>
      <c r="G50" s="99">
        <f>C50</f>
        <v/>
      </c>
    </row>
    <row r="51" ht="21.95" customHeight="1" s="69">
      <c r="A51" s="31" t="inlineStr">
        <is>
          <t>Tổng vốn đầu tư ban đầu</t>
        </is>
      </c>
      <c r="B51" s="95">
        <f>CAPEX_Dau_tu!$G$31</f>
        <v/>
      </c>
      <c r="C51" s="99">
        <f>CAPEX_Dau_tu!$F$31</f>
        <v/>
      </c>
      <c r="D51" s="95">
        <f>CAPEX_Dau_tu!$G$31</f>
        <v/>
      </c>
      <c r="E51" s="99">
        <f>CAPEX_Dau_tu!$F$31</f>
        <v/>
      </c>
      <c r="F51" s="95">
        <f>CAPEX_Dau_tu!$G$31</f>
        <v/>
      </c>
      <c r="G51" s="99">
        <f>CAPEX_Dau_tu!$F$31</f>
        <v/>
      </c>
    </row>
  </sheetData>
  <mergeCells count="17">
    <mergeCell ref="D8:E8"/>
    <mergeCell ref="D6:E6"/>
    <mergeCell ref="B6:C6"/>
    <mergeCell ref="A44:G44"/>
    <mergeCell ref="A11:F11"/>
    <mergeCell ref="A1:G1"/>
    <mergeCell ref="D7:E7"/>
    <mergeCell ref="B7:C7"/>
    <mergeCell ref="A36:F36"/>
    <mergeCell ref="A32:F32"/>
    <mergeCell ref="A2:G2"/>
    <mergeCell ref="F6:G6"/>
    <mergeCell ref="A17:F17"/>
    <mergeCell ref="A22:F22"/>
    <mergeCell ref="B8:C8"/>
    <mergeCell ref="F7:G7"/>
    <mergeCell ref="F8:G8"/>
  </mergeCells>
  <dataValidations count="1">
    <dataValidation sqref="B4" showDropDown="0" showInputMessage="0" showErrorMessage="0" allowBlank="0" type="list">
      <formula1>"VND,USD,LAK"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tabSelected="1" topLeftCell="A53" workbookViewId="0">
      <selection activeCell="A1" sqref="A1:G1"/>
    </sheetView>
  </sheetViews>
  <sheetFormatPr baseColWidth="8" defaultRowHeight="14.25" outlineLevelCol="0"/>
  <cols>
    <col width="8" customWidth="1" style="69" min="1" max="1"/>
    <col width="44" customWidth="1" style="69" min="2" max="2"/>
    <col width="18" customWidth="1" style="69" min="3" max="3"/>
    <col width="16" customWidth="1" style="69" min="4" max="4"/>
    <col width="18" customWidth="1" style="69" min="5" max="5"/>
    <col width="24" customWidth="1" style="69" min="6" max="6"/>
    <col width="52" customWidth="1" style="69" min="7" max="7"/>
  </cols>
  <sheetData>
    <row r="1" ht="36" customHeight="1" s="69">
      <c r="A1" s="71" t="inlineStr">
        <is>
          <t>BẢNG GIẢ ĐỊNH ĐẦU VÀO TOÀN DIỆN — NHA KHOA PAKSE (CHAMPASAK, LÀO)</t>
        </is>
      </c>
    </row>
    <row r="2" ht="20.1" customHeight="1" s="69">
      <c r="A2" s="74" t="inlineStr">
        <is>
          <t>Dữ liệu chi phí &amp; CAPEX đối chiếu chuẩn xác từ mo_hinh_phong_kham_pakse.xlsx | 3 kịch bản doanh thu chuẩn hóa theo NGÀY</t>
        </is>
      </c>
    </row>
    <row r="4" ht="24" customHeight="1" s="69">
      <c r="A4" s="70" t="inlineStr">
        <is>
          <t>I. THÔNG SỐ VĨ MÔ &amp; TÀI CHÍNH</t>
        </is>
      </c>
    </row>
    <row r="5" ht="21.95" customHeight="1" s="69">
      <c r="A5" s="7" t="inlineStr">
        <is>
          <t>Mã</t>
        </is>
      </c>
      <c r="B5" s="7" t="inlineStr">
        <is>
          <t>Tên thông số giả định</t>
        </is>
      </c>
      <c r="C5" s="7" t="inlineStr">
        <is>
          <t>Giá trị</t>
        </is>
      </c>
      <c r="D5" s="7" t="inlineStr">
        <is>
          <t>Đơn vị</t>
        </is>
      </c>
      <c r="E5" s="7" t="inlineStr">
        <is>
          <t>Ký hiệu</t>
        </is>
      </c>
      <c r="F5" s="7" t="inlineStr">
        <is>
          <t>Ghi chú &amp; Cơ sở tham chiếu</t>
        </is>
      </c>
    </row>
    <row r="6" ht="21.95" customHeight="1" s="69">
      <c r="A6" s="19" t="inlineStr">
        <is>
          <t>M01</t>
        </is>
      </c>
      <c r="B6" s="17" t="inlineStr">
        <is>
          <t>Tỷ giá USD / VND</t>
        </is>
      </c>
      <c r="C6" s="33" t="n">
        <v>25882.44</v>
      </c>
      <c r="D6" s="19" t="inlineStr">
        <is>
          <t>VND/USD</t>
        </is>
      </c>
      <c r="E6" s="19" t="inlineStr">
        <is>
          <t>FX_VND</t>
        </is>
      </c>
      <c r="F6" s="17" t="inlineStr">
        <is>
          <t>Tỷ giá Vietcombank bán ra tham chiếu</t>
        </is>
      </c>
    </row>
    <row r="7" ht="21.95" customHeight="1" s="69">
      <c r="A7" s="19" t="inlineStr">
        <is>
          <t>M02</t>
        </is>
      </c>
      <c r="B7" s="17" t="inlineStr">
        <is>
          <t>Tỷ giá USD / LAK</t>
        </is>
      </c>
      <c r="C7" s="33" t="n">
        <v>22402.5</v>
      </c>
      <c r="D7" s="19" t="inlineStr">
        <is>
          <t>LAK/USD</t>
        </is>
      </c>
      <c r="E7" s="19" t="inlineStr">
        <is>
          <t>FX_LAK</t>
        </is>
      </c>
      <c r="F7" s="17" t="inlineStr">
        <is>
          <t>Tỷ giá BCEL Lào tham chiếu</t>
        </is>
      </c>
    </row>
    <row r="8" ht="21.95" customHeight="1" s="69">
      <c r="A8" s="19" t="inlineStr">
        <is>
          <t>M03</t>
        </is>
      </c>
      <c r="B8" s="17" t="inlineStr">
        <is>
          <t>Tỷ giá quy đổi LAK sang VND</t>
        </is>
      </c>
      <c r="C8" s="100">
        <f>C6/C7</f>
        <v/>
      </c>
      <c r="D8" s="19" t="inlineStr">
        <is>
          <t>VND/LAK</t>
        </is>
      </c>
      <c r="E8" s="19" t="inlineStr">
        <is>
          <t>FX_CROSS</t>
        </is>
      </c>
      <c r="F8" s="17" t="n"/>
    </row>
    <row r="9" ht="21.95" customHeight="1" s="69">
      <c r="A9" s="19" t="inlineStr">
        <is>
          <t>M04</t>
        </is>
      </c>
      <c r="B9" s="17" t="inlineStr">
        <is>
          <t>Lạm phát chi phí hàng năm (CPI Lào)</t>
        </is>
      </c>
      <c r="C9" s="101" t="n">
        <v>0.078</v>
      </c>
      <c r="D9" s="19" t="inlineStr">
        <is>
          <t>% / năm</t>
        </is>
      </c>
      <c r="E9" s="19" t="inlineStr">
        <is>
          <t>CPI</t>
        </is>
      </c>
      <c r="F9" s="17" t="inlineStr">
        <is>
          <t>Theo dữ liệu lạm phát thực tế tại Lào</t>
        </is>
      </c>
    </row>
    <row r="10" ht="21.95" customHeight="1" s="69">
      <c r="A10" s="19" t="inlineStr">
        <is>
          <t>M05</t>
        </is>
      </c>
      <c r="B10" s="17" t="inlineStr">
        <is>
          <t>Trượt giá / Tăng giá dịch vụ hàng năm</t>
        </is>
      </c>
      <c r="C10" s="101" t="n">
        <v>0.03</v>
      </c>
      <c r="D10" s="19" t="inlineStr">
        <is>
          <t>% / năm</t>
        </is>
      </c>
      <c r="E10" s="19" t="inlineStr">
        <is>
          <t>PRICE_INC</t>
        </is>
      </c>
      <c r="F10" s="17" t="inlineStr">
        <is>
          <t>Dự kiến điều chỉnh tăng giá sau năm 1</t>
        </is>
      </c>
    </row>
    <row r="11" ht="21.95" customHeight="1" s="69">
      <c r="A11" s="19" t="inlineStr">
        <is>
          <t>M06</t>
        </is>
      </c>
      <c r="B11" s="17" t="inlineStr">
        <is>
          <t>Thuế thu nhập doanh nghiệp Lào (CIT)</t>
        </is>
      </c>
      <c r="C11" s="101" t="n">
        <v>0.2</v>
      </c>
      <c r="D11" s="19" t="inlineStr">
        <is>
          <t>%</t>
        </is>
      </c>
      <c r="E11" s="19" t="inlineStr">
        <is>
          <t>CIT</t>
        </is>
      </c>
      <c r="F11" s="17" t="inlineStr">
        <is>
          <t>Thuế suất phổ thông cho y tế tại Lào</t>
        </is>
      </c>
    </row>
    <row r="12" ht="21.95" customHeight="1" s="69">
      <c r="A12" s="19" t="inlineStr">
        <is>
          <t>M07</t>
        </is>
      </c>
      <c r="B12" s="17" t="inlineStr">
        <is>
          <t>Tỷ lệ chiết khấu WACC (Chi phí vốn)</t>
        </is>
      </c>
      <c r="C12" s="101" t="n">
        <v>0.15</v>
      </c>
      <c r="D12" s="19" t="inlineStr">
        <is>
          <t>% / năm</t>
        </is>
      </c>
      <c r="E12" s="19" t="inlineStr">
        <is>
          <t>WACC</t>
        </is>
      </c>
      <c r="F12" s="17" t="inlineStr">
        <is>
          <t>Lãi suất chiết khấu thận trọng theo chuẩn thẩm định</t>
        </is>
      </c>
    </row>
    <row r="13" ht="21.95" customHeight="1" s="69">
      <c r="A13" s="19" t="inlineStr">
        <is>
          <t>M08</t>
        </is>
      </c>
      <c r="B13" s="17" t="inlineStr">
        <is>
          <t>Thời gian khấu hao tài sản cố định</t>
        </is>
      </c>
      <c r="C13" s="36" t="n">
        <v>60</v>
      </c>
      <c r="D13" s="19" t="inlineStr">
        <is>
          <t>Tháng</t>
        </is>
      </c>
      <c r="E13" s="19" t="inlineStr">
        <is>
          <t>DEPR_M</t>
        </is>
      </c>
      <c r="F13" s="17" t="inlineStr">
        <is>
          <t>Khấu hao đường thẳng 5 năm (60 tháng)</t>
        </is>
      </c>
    </row>
    <row r="15" ht="24" customHeight="1" s="69">
      <c r="A15" s="70" t="inlineStr">
        <is>
          <t>II. MỤC TIÊU DOANH THU THEO NGÀY &amp; ĐỊNH MỨC BIẾN PHÍ</t>
        </is>
      </c>
    </row>
    <row r="16" ht="21.95" customHeight="1" s="69">
      <c r="A16" s="7" t="inlineStr">
        <is>
          <t>Mã</t>
        </is>
      </c>
      <c r="B16" s="7" t="inlineStr">
        <is>
          <t>Chỉ tiêu doanh thu &amp; Biến phí</t>
        </is>
      </c>
      <c r="C16" s="7" t="inlineStr">
        <is>
          <t>Giá trị</t>
        </is>
      </c>
      <c r="D16" s="7" t="inlineStr">
        <is>
          <t>Đơn vị</t>
        </is>
      </c>
      <c r="E16" s="7" t="inlineStr">
        <is>
          <t>Quy đổi USD</t>
        </is>
      </c>
      <c r="F16" s="7" t="inlineStr">
        <is>
          <t>Ghi chú &amp; Cơ sở</t>
        </is>
      </c>
    </row>
    <row r="17" ht="21.95" customHeight="1" s="69">
      <c r="A17" s="19" t="inlineStr">
        <is>
          <t>R01</t>
        </is>
      </c>
      <c r="B17" s="17" t="inlineStr">
        <is>
          <t>Tỷ lệ chi phí biến đổi (% Doanh thu)</t>
        </is>
      </c>
      <c r="C17" s="101" t="n">
        <v>0.2</v>
      </c>
      <c r="D17" s="19" t="inlineStr">
        <is>
          <t>%</t>
        </is>
      </c>
      <c r="E17" s="99" t="n"/>
      <c r="F17" s="17" t="inlineStr">
        <is>
          <t>Vật tư tiêu hao, trụ implant, xưởng labo (từ Gia_dinh!C63:C70)</t>
        </is>
      </c>
    </row>
    <row r="18" ht="21.95" customHeight="1" s="69">
      <c r="A18" s="19" t="inlineStr">
        <is>
          <t>R02</t>
        </is>
      </c>
      <c r="B18" s="17" t="inlineStr">
        <is>
          <t>Số ngày làm việc trong tháng</t>
        </is>
      </c>
      <c r="C18" s="37" t="n">
        <v>26</v>
      </c>
      <c r="D18" s="19" t="inlineStr">
        <is>
          <t>Ngày/tháng</t>
        </is>
      </c>
      <c r="E18" s="99" t="n"/>
      <c r="F18" s="17" t="inlineStr">
        <is>
          <t>Chuẩn 26 ngày (nghỉ chủ nhật, hoặc đổi sang 30 ngày)</t>
        </is>
      </c>
    </row>
    <row r="19" ht="21.95" customHeight="1" s="69">
      <c r="A19" s="19" t="inlineStr">
        <is>
          <t>R03</t>
        </is>
      </c>
      <c r="B19" s="17" t="inlineStr">
        <is>
          <t>Doanh thu mục tiêu 1 NGÀY — MIN (Thận trọng)</t>
        </is>
      </c>
      <c r="C19" s="102" t="n">
        <v>80</v>
      </c>
      <c r="D19" s="19" t="inlineStr">
        <is>
          <t>Triệu VND/ngày</t>
        </is>
      </c>
      <c r="E19" s="99">
        <f>C19*1000000/$C$6</f>
        <v/>
      </c>
      <c r="F19" s="17" t="inlineStr">
        <is>
          <t>Mức sàn doanh thu ngày bạn cung cấp (~$3,091 USD/ngày)</t>
        </is>
      </c>
    </row>
    <row r="20" ht="21.95" customHeight="1" s="69">
      <c r="A20" s="19" t="inlineStr">
        <is>
          <t>R04</t>
        </is>
      </c>
      <c r="B20" s="17" t="inlineStr">
        <is>
          <t>Doanh thu mục tiêu 1 NGÀY — KỲ VỌNG (Trung bình)</t>
        </is>
      </c>
      <c r="C20" s="102" t="n">
        <v>140</v>
      </c>
      <c r="D20" s="19" t="inlineStr">
        <is>
          <t>Triệu VND/ngày</t>
        </is>
      </c>
      <c r="E20" s="99">
        <f>C20*1000000/$C$6</f>
        <v/>
      </c>
      <c r="F20" s="17" t="inlineStr">
        <is>
          <t>Mục tiêu kinh doanh thực tế bình quân (~$5,409 USD/ngày)</t>
        </is>
      </c>
    </row>
    <row r="21" ht="21.95" customHeight="1" s="69">
      <c r="A21" s="19" t="inlineStr">
        <is>
          <t>R05</t>
        </is>
      </c>
      <c r="B21" s="17" t="inlineStr">
        <is>
          <t>Doanh thu mục tiêu 1 NGÀY — MAX (Tích cực)</t>
        </is>
      </c>
      <c r="C21" s="102" t="n">
        <v>200</v>
      </c>
      <c r="D21" s="19" t="inlineStr">
        <is>
          <t>Triệu VND/ngày</t>
        </is>
      </c>
      <c r="E21" s="99">
        <f>C21*1000000/$C$6</f>
        <v/>
      </c>
      <c r="F21" s="17" t="inlineStr">
        <is>
          <t>Công suất khai thác cao điểm (~$7,727 USD/ngày)</t>
        </is>
      </c>
    </row>
    <row r="22" ht="21.95" customHeight="1" s="69">
      <c r="A22" s="39" t="inlineStr">
        <is>
          <t>R06</t>
        </is>
      </c>
      <c r="B22" s="40" t="inlineStr">
        <is>
          <t>Doanh thu mục tiêu 1 THÁNG — MIN</t>
        </is>
      </c>
      <c r="C22" s="103">
        <f>C19*C18</f>
        <v/>
      </c>
      <c r="D22" s="39" t="inlineStr">
        <is>
          <t>Triệu VND/th</t>
        </is>
      </c>
      <c r="E22" s="104">
        <f>C22*1000000/$C$6</f>
        <v/>
      </c>
      <c r="F22" s="40" t="n"/>
    </row>
    <row r="23" ht="21.95" customHeight="1" s="69">
      <c r="A23" s="39" t="inlineStr">
        <is>
          <t>R07</t>
        </is>
      </c>
      <c r="B23" s="40" t="inlineStr">
        <is>
          <t>Doanh thu mục tiêu 1 THÁNG — KỲ VỌNG</t>
        </is>
      </c>
      <c r="C23" s="103">
        <f>C20*C18</f>
        <v/>
      </c>
      <c r="D23" s="39" t="inlineStr">
        <is>
          <t>Triệu VND/th</t>
        </is>
      </c>
      <c r="E23" s="104">
        <f>C23*1000000/$C$6</f>
        <v/>
      </c>
      <c r="F23" s="40" t="n"/>
    </row>
    <row r="24" ht="21.95" customHeight="1" s="69">
      <c r="A24" s="39" t="inlineStr">
        <is>
          <t>R08</t>
        </is>
      </c>
      <c r="B24" s="40" t="inlineStr">
        <is>
          <t>Doanh thu mục tiêu 1 THÁNG — MAX</t>
        </is>
      </c>
      <c r="C24" s="103">
        <f>C21*C18</f>
        <v/>
      </c>
      <c r="D24" s="39" t="inlineStr">
        <is>
          <t>Triệu VND/th</t>
        </is>
      </c>
      <c r="E24" s="104">
        <f>C24*1000000/$C$6</f>
        <v/>
      </c>
      <c r="F24" s="40" t="n"/>
    </row>
    <row r="25" ht="21.95" customHeight="1" s="69">
      <c r="A25" s="19" t="inlineStr">
        <is>
          <t>R09</t>
        </is>
      </c>
      <c r="B25" s="17" t="inlineStr">
        <is>
          <t>Doanh thu bình quân theo lượt khám (Doanh_thu!B9)</t>
        </is>
      </c>
      <c r="C25" s="105" t="n">
        <v>239.45</v>
      </c>
      <c r="D25" s="19" t="inlineStr">
        <is>
          <t>USD/lượt</t>
        </is>
      </c>
      <c r="E25" s="95">
        <f>C25*$C$6/1000000</f>
        <v/>
      </c>
      <c r="F25" s="17" t="inlineStr">
        <is>
          <t>Bình quân gia quyền cơ cấu dịch vụ theo file gốc (~6,2 triệu VNĐ/lượt)</t>
        </is>
      </c>
    </row>
    <row r="27" ht="24" customHeight="1" s="69">
      <c r="A27" s="70" t="inlineStr">
        <is>
          <t>III. ĐỊNH MỨC CHI PHÍ CỐ ĐỊNH HÀNG THÁNG (CHUẨN TỪ MO_HINH_PHONG_KHAM_PAKSE)</t>
        </is>
      </c>
    </row>
    <row r="28" ht="21.95" customHeight="1" s="69">
      <c r="A28" s="7" t="inlineStr">
        <is>
          <t>Mã</t>
        </is>
      </c>
      <c r="B28" s="7" t="inlineStr">
        <is>
          <t>Hạng mục chi phí cố định</t>
        </is>
      </c>
      <c r="C28" s="7" t="inlineStr">
        <is>
          <t>Số lượng</t>
        </is>
      </c>
      <c r="D28" s="7" t="inlineStr">
        <is>
          <t>Đơn vị tiền gốc</t>
        </is>
      </c>
      <c r="E28" s="7" t="inlineStr">
        <is>
          <t>Đơn giá gốc</t>
        </is>
      </c>
      <c r="F28" s="7" t="inlineStr">
        <is>
          <t>Thành tiền (Triệu VND)</t>
        </is>
      </c>
      <c r="G28" s="7" t="inlineStr">
        <is>
          <t>Ghi chú &amp; Cơ sở từ file gốc</t>
        </is>
      </c>
    </row>
    <row r="29" ht="21.95" customHeight="1" s="69">
      <c r="A29" s="17" t="inlineStr">
        <is>
          <t>F01</t>
        </is>
      </c>
      <c r="B29" s="17" t="inlineStr">
        <is>
          <t>Bác sĩ nha khoa (Chi_phi_VH!D4)</t>
        </is>
      </c>
      <c r="C29" s="44" t="n">
        <v>2</v>
      </c>
      <c r="D29" s="19" t="inlineStr">
        <is>
          <t>USD</t>
        </is>
      </c>
      <c r="E29" s="105" t="n">
        <v>2000</v>
      </c>
      <c r="F29" s="106">
        <f>C29*E29*$C$6/1000000</f>
        <v/>
      </c>
      <c r="G29" s="17" t="inlineStr">
        <is>
          <t>2 Bác sĩ toàn thời gian (tổng $4.000 USD/tháng)</t>
        </is>
      </c>
    </row>
    <row r="30" ht="21.95" customHeight="1" s="69">
      <c r="A30" s="17" t="inlineStr">
        <is>
          <t>F02</t>
        </is>
      </c>
      <c r="B30" s="17" t="inlineStr">
        <is>
          <t>Phụ tá nha khoa, vệ sinh, tiệt trùng (Chi_phi_VH!D5)</t>
        </is>
      </c>
      <c r="C30" s="44" t="n">
        <v>3</v>
      </c>
      <c r="D30" s="19" t="inlineStr">
        <is>
          <t>LAK</t>
        </is>
      </c>
      <c r="E30" s="37" t="n">
        <v>8000000</v>
      </c>
      <c r="F30" s="106">
        <f>C30*E30*($C$6/$C$7)/1000000</f>
        <v/>
      </c>
      <c r="G30" s="17" t="inlineStr">
        <is>
          <t>3 Phụ tá (24 triệu LAK/tháng ~ $1.071,31 USD)</t>
        </is>
      </c>
    </row>
    <row r="31" ht="21.95" customHeight="1" s="69">
      <c r="A31" s="17" t="inlineStr">
        <is>
          <t>F03</t>
        </is>
      </c>
      <c r="B31" s="17" t="inlineStr">
        <is>
          <t>Lễ tân, kế toán, CSKH (Chi_phi_VH!D6)</t>
        </is>
      </c>
      <c r="C31" s="44" t="n">
        <v>1</v>
      </c>
      <c r="D31" s="19" t="inlineStr">
        <is>
          <t>LAK</t>
        </is>
      </c>
      <c r="E31" s="37" t="n">
        <v>8000000</v>
      </c>
      <c r="F31" s="106">
        <f>C31*E31*($C$6/$C$7)/1000000</f>
        <v/>
      </c>
      <c r="G31" s="17" t="inlineStr">
        <is>
          <t>1 Lễ tân / CSKH (8 triệu LAK/tháng ~ $357,10 USD)</t>
        </is>
      </c>
    </row>
    <row r="32" ht="21.95" customHeight="1" s="69">
      <c r="A32" s="17" t="inlineStr">
        <is>
          <t>F04</t>
        </is>
      </c>
      <c r="B32" s="17" t="inlineStr">
        <is>
          <t>Sale / Tư vấn khách hàng (Chi_phi_VH!D7)</t>
        </is>
      </c>
      <c r="C32" s="44" t="n">
        <v>1</v>
      </c>
      <c r="D32" s="19" t="inlineStr">
        <is>
          <t>LAK</t>
        </is>
      </c>
      <c r="E32" s="37" t="n">
        <v>8000000</v>
      </c>
      <c r="F32" s="106">
        <f>C32*E32*($C$6/$C$7)/1000000</f>
        <v/>
      </c>
      <c r="G32" s="17" t="inlineStr">
        <is>
          <t>1 Nhân viên Sale (8 triệu LAK/tháng ~ $357,10 USD)</t>
        </is>
      </c>
    </row>
    <row r="33" ht="21.95" customHeight="1" s="69">
      <c r="A33" s="17" t="inlineStr">
        <is>
          <t>F05</t>
        </is>
      </c>
      <c r="B33" s="17" t="inlineStr">
        <is>
          <t>Quản lý phòng khám (Chi_phi_VH!D8)</t>
        </is>
      </c>
      <c r="C33" s="44" t="n">
        <v>1</v>
      </c>
      <c r="D33" s="19" t="inlineStr">
        <is>
          <t>LAK</t>
        </is>
      </c>
      <c r="E33" s="37" t="n">
        <v>15000000</v>
      </c>
      <c r="F33" s="106">
        <f>C33*E33*($C$6/$C$7)/1000000</f>
        <v/>
      </c>
      <c r="G33" s="17" t="inlineStr">
        <is>
          <t>1 Quản lý cơ sở (15 triệu LAK/tháng ~ $669,57 USD)</t>
        </is>
      </c>
    </row>
    <row r="34" ht="21.95" customHeight="1" s="69">
      <c r="A34" s="17" t="inlineStr">
        <is>
          <t>F06</t>
        </is>
      </c>
      <c r="B34" s="17" t="inlineStr">
        <is>
          <t>BHXH phần doanh nghiệp 6% (Chi_phi_VH!D10)</t>
        </is>
      </c>
      <c r="C34" s="44" t="n">
        <v>1</v>
      </c>
      <c r="D34" s="19" t="inlineStr">
        <is>
          <t>USD</t>
        </is>
      </c>
      <c r="E34" s="105" t="n">
        <v>387.3</v>
      </c>
      <c r="F34" s="106">
        <f>C34*E34*$C$6/1000000</f>
        <v/>
      </c>
      <c r="G34" s="17" t="inlineStr">
        <is>
          <t>Bảo hiểm xã hội 6% trên tổng quỹ lương ($387,30 USD)</t>
        </is>
      </c>
    </row>
    <row r="35" ht="21.95" customHeight="1" s="69">
      <c r="A35" s="17" t="inlineStr">
        <is>
          <t>F07</t>
        </is>
      </c>
      <c r="B35" s="17" t="inlineStr">
        <is>
          <t>Thuê mặt bằng 100m² (Chi_phi_VH!D11)</t>
        </is>
      </c>
      <c r="C35" s="44" t="n">
        <v>1</v>
      </c>
      <c r="D35" s="19" t="inlineStr">
        <is>
          <t>USD</t>
        </is>
      </c>
      <c r="E35" s="105" t="n">
        <v>500</v>
      </c>
      <c r="F35" s="106">
        <f>C35*E35*$C$6/1000000</f>
        <v/>
      </c>
      <c r="G35" s="17" t="inlineStr">
        <is>
          <t>100 m² x 5,5 USD/m² = $550 USD/tháng (~14,2 triệu VNĐ)</t>
        </is>
      </c>
    </row>
    <row r="36" ht="21.95" customHeight="1" s="69">
      <c r="A36" s="17" t="inlineStr">
        <is>
          <t>F08</t>
        </is>
      </c>
      <c r="B36" s="17" t="inlineStr">
        <is>
          <t>Điện, nước, internet (Chi_phi_VH!D12)</t>
        </is>
      </c>
      <c r="C36" s="44" t="n">
        <v>1</v>
      </c>
      <c r="D36" s="19" t="inlineStr">
        <is>
          <t>USD</t>
        </is>
      </c>
      <c r="E36" s="105" t="n">
        <v>400</v>
      </c>
      <c r="F36" s="106">
        <f>C36*E36*$C$6/1000000</f>
        <v/>
      </c>
      <c r="G36" s="17" t="inlineStr">
        <is>
          <t>Chi phí vận hành điện lạnh, máy nén khí ($400 USD)</t>
        </is>
      </c>
    </row>
    <row r="37" ht="21.95" customHeight="1" s="69">
      <c r="A37" s="17" t="inlineStr">
        <is>
          <t>F09</t>
        </is>
      </c>
      <c r="B37" s="17" t="inlineStr">
        <is>
          <t>Marketing thường xuyên (Chi_phi_VH!D13)</t>
        </is>
      </c>
      <c r="C37" s="44" t="n">
        <v>1</v>
      </c>
      <c r="D37" s="19" t="inlineStr">
        <is>
          <t>USD</t>
        </is>
      </c>
      <c r="E37" s="105" t="n">
        <v>5000</v>
      </c>
      <c r="F37" s="106">
        <f>C37*E37*$C$6/1000000</f>
        <v/>
      </c>
      <c r="G37" s="17" t="inlineStr">
        <is>
          <t>Ngân sách quảng cáo Facebook/TikTok/OOH duy trì doanh thu lớn ($5.000 USD)</t>
        </is>
      </c>
    </row>
    <row r="38" ht="21.95" customHeight="1" s="69">
      <c r="A38" s="17" t="inlineStr">
        <is>
          <t>F10</t>
        </is>
      </c>
      <c r="B38" s="17" t="inlineStr">
        <is>
          <t>Bảo trì thiết bị, vật tư cố định (Chi_phi_VH!D14)</t>
        </is>
      </c>
      <c r="C38" s="44" t="n">
        <v>1</v>
      </c>
      <c r="D38" s="19" t="inlineStr">
        <is>
          <t>USD</t>
        </is>
      </c>
      <c r="E38" s="105" t="n">
        <v>300</v>
      </c>
      <c r="F38" s="106">
        <f>C38*E38*$C$6/1000000</f>
        <v/>
      </c>
      <c r="G38" s="17" t="inlineStr">
        <is>
          <t>Bảo trì định kỳ máy móc nha khoa ($300 USD)</t>
        </is>
      </c>
    </row>
    <row r="39" ht="21.95" customHeight="1" s="69">
      <c r="A39" s="17" t="inlineStr">
        <is>
          <t>F11</t>
        </is>
      </c>
      <c r="B39" s="17" t="inlineStr">
        <is>
          <t>Kế toán, pháp lý, bảo hiểm, giấy phép (Chi_phi_VH!D15)</t>
        </is>
      </c>
      <c r="C39" s="44" t="n">
        <v>1</v>
      </c>
      <c r="D39" s="19" t="inlineStr">
        <is>
          <t>USD</t>
        </is>
      </c>
      <c r="E39" s="105" t="n">
        <v>300</v>
      </c>
      <c r="F39" s="106">
        <f>C39*E39*$C$6/1000000</f>
        <v/>
      </c>
      <c r="G39" s="17" t="inlineStr">
        <is>
          <t>Duy trì hành chính, kế toán thuế Champasak ($300 USD)</t>
        </is>
      </c>
    </row>
    <row r="40" ht="21.95" customHeight="1" s="69">
      <c r="A40" s="82" t="inlineStr">
        <is>
          <t>F12</t>
        </is>
      </c>
      <c r="B40" s="82" t="inlineStr">
        <is>
          <t>TỔNG CHI PHÍ CỐ ĐỊNH / THÁNG (Chi_phi_VH!D16)</t>
        </is>
      </c>
      <c r="C40" s="15" t="n"/>
      <c r="D40" s="15" t="inlineStr">
        <is>
          <t>USD</t>
        </is>
      </c>
      <c r="E40" s="107">
        <f>F40*1000000/$C$6</f>
        <v/>
      </c>
      <c r="F40" s="108">
        <f>SUM(F29:F39)</f>
        <v/>
      </c>
      <c r="G40" s="82" t="inlineStr">
        <is>
          <t>Tổng định phí gốc: $13.392,39 USD/tháng (~346,63 triệu VNĐ)</t>
        </is>
      </c>
    </row>
    <row r="42" ht="24" customHeight="1" s="69">
      <c r="A42" s="70" t="inlineStr">
        <is>
          <t>IV. LỘ TRÌNH TĂNG TỐC CÔNG SUẤT KHAI THÁC (RAMP-UP NĂM 1)</t>
        </is>
      </c>
    </row>
    <row r="43" ht="21.95" customHeight="1" s="69">
      <c r="A43" s="48" t="inlineStr">
        <is>
          <t>Tháng</t>
        </is>
      </c>
      <c r="B43" s="48" t="inlineStr">
        <is>
          <t>Tháng 1</t>
        </is>
      </c>
      <c r="C43" s="48" t="inlineStr">
        <is>
          <t>Tháng 2</t>
        </is>
      </c>
      <c r="D43" s="48" t="inlineStr">
        <is>
          <t>Tháng 3</t>
        </is>
      </c>
      <c r="E43" s="48" t="inlineStr">
        <is>
          <t>Tháng 4</t>
        </is>
      </c>
      <c r="F43" s="48" t="inlineStr">
        <is>
          <t>Tháng 5</t>
        </is>
      </c>
      <c r="G43" s="48" t="inlineStr">
        <is>
          <t>Tháng 6 trở đi</t>
        </is>
      </c>
    </row>
    <row r="44" ht="21.95" customHeight="1" s="69">
      <c r="A44" s="40" t="inlineStr">
        <is>
          <t>Tỷ lệ công suất (%)</t>
        </is>
      </c>
      <c r="B44" s="109" t="n">
        <v>0.3</v>
      </c>
      <c r="C44" s="109" t="n">
        <v>0.45</v>
      </c>
      <c r="D44" s="109" t="n">
        <v>0.6</v>
      </c>
      <c r="E44" s="109" t="n">
        <v>0.75</v>
      </c>
      <c r="F44" s="109" t="n">
        <v>0.9</v>
      </c>
      <c r="G44" s="109" t="n">
        <v>1</v>
      </c>
    </row>
  </sheetData>
  <mergeCells count="6">
    <mergeCell ref="A1:G1"/>
    <mergeCell ref="A27:G27"/>
    <mergeCell ref="A4:G4"/>
    <mergeCell ref="A2:G2"/>
    <mergeCell ref="A15:G15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8"/>
  <sheetViews>
    <sheetView topLeftCell="A65" workbookViewId="0">
      <selection activeCell="A1" sqref="A1:AM1"/>
    </sheetView>
  </sheetViews>
  <sheetFormatPr baseColWidth="8" defaultRowHeight="14.25" outlineLevelCol="0"/>
  <cols>
    <col width="8" customWidth="1" style="69" min="1" max="2"/>
    <col width="12" customWidth="1" style="69" min="3" max="6"/>
    <col width="15" customWidth="1" style="69" min="7" max="39"/>
  </cols>
  <sheetData>
    <row r="1" ht="36" customHeight="1" s="69">
      <c r="A1" s="71" t="inlineStr">
        <is>
          <t>BẢNG DÒNG TIỀN VÀ HIỆU QUẢ TÀI CHÍNH CHI TIẾT 60 THÁNG (5 NĂM) — 3 KỊCH BẢN DOANH THU THEO NGÀY</t>
        </is>
      </c>
    </row>
    <row r="2" ht="20.1" customHeight="1" s="69">
      <c r="A2" s="74" t="inlineStr">
        <is>
          <t>Đơn vị tính: Triệu VNĐ | Doanh thu ngày: Min 80 tr - TB 140 tr - Max 200 tr/ngày | Chi phí &amp; CAPEX gốc từ mo_hinh_phong_kham_pakse.xlsx</t>
        </is>
      </c>
    </row>
    <row r="3" ht="21.95" customHeight="1" s="69">
      <c r="A3" s="81" t="inlineStr">
        <is>
          <t>THÔNG SỐ THỜI GIAN &amp; HỆ SỐ MÔ HÌNH</t>
        </is>
      </c>
      <c r="G3" s="77" t="inlineStr">
        <is>
          <t>KỊCH BẢN 1: MIN (80 TRIỆU/NGÀY — 2.080 TR/THÁNG)</t>
        </is>
      </c>
      <c r="R3" s="84" t="inlineStr">
        <is>
          <t>KỊCH BẢN 2: KỲ VỌNG (140 TRIỆU/NGÀY — 3.640 TR/THÁNG)</t>
        </is>
      </c>
      <c r="AC3" s="78" t="inlineStr">
        <is>
          <t>KỊCH BẢN 3: MAX (200 TRIỆU/NGÀY — 5.200 TR/THÁNG)</t>
        </is>
      </c>
    </row>
    <row r="4" ht="24.95" customHeight="1" s="69">
      <c r="A4" s="7" t="inlineStr">
        <is>
          <t>Tháng</t>
        </is>
      </c>
      <c r="B4" s="7" t="inlineStr">
        <is>
          <t>Năm</t>
        </is>
      </c>
      <c r="C4" s="7" t="inlineStr">
        <is>
          <t>Tăng tốc</t>
        </is>
      </c>
      <c r="D4" s="7" t="inlineStr">
        <is>
          <t>Trượt giá DT</t>
        </is>
      </c>
      <c r="E4" s="7" t="inlineStr">
        <is>
          <t>Lạm phát CP</t>
        </is>
      </c>
      <c r="F4" s="7" t="inlineStr">
        <is>
          <t>Chiết khấu</t>
        </is>
      </c>
      <c r="G4" s="8" t="inlineStr">
        <is>
          <t>Doanh thu</t>
        </is>
      </c>
      <c r="H4" s="8" t="inlineStr">
        <is>
          <t>CP biến đổi</t>
        </is>
      </c>
      <c r="I4" s="8" t="inlineStr">
        <is>
          <t>CP cố định</t>
        </is>
      </c>
      <c r="J4" s="8" t="inlineStr">
        <is>
          <t>EBITDA</t>
        </is>
      </c>
      <c r="K4" s="8" t="inlineStr">
        <is>
          <t>Khấu hao</t>
        </is>
      </c>
      <c r="L4" s="8" t="inlineStr">
        <is>
          <t>EBT</t>
        </is>
      </c>
      <c r="M4" s="8" t="inlineStr">
        <is>
          <t>Thuế TNDN</t>
        </is>
      </c>
      <c r="N4" s="8" t="inlineStr">
        <is>
          <t>LN sau thuế</t>
        </is>
      </c>
      <c r="O4" s="8" t="inlineStr">
        <is>
          <t>Dòng tiền (CF)</t>
        </is>
      </c>
      <c r="P4" s="8" t="inlineStr">
        <is>
          <t>Lũy kế CF</t>
        </is>
      </c>
      <c r="Q4" s="8" t="inlineStr">
        <is>
          <t>DCF</t>
        </is>
      </c>
      <c r="R4" s="9" t="inlineStr">
        <is>
          <t>Doanh thu</t>
        </is>
      </c>
      <c r="S4" s="9" t="inlineStr">
        <is>
          <t>CP biến đổi</t>
        </is>
      </c>
      <c r="T4" s="9" t="inlineStr">
        <is>
          <t>CP cố định</t>
        </is>
      </c>
      <c r="U4" s="9" t="inlineStr">
        <is>
          <t>EBITDA</t>
        </is>
      </c>
      <c r="V4" s="9" t="inlineStr">
        <is>
          <t>Khấu hao</t>
        </is>
      </c>
      <c r="W4" s="9" t="inlineStr">
        <is>
          <t>EBT</t>
        </is>
      </c>
      <c r="X4" s="9" t="inlineStr">
        <is>
          <t>Thuế TNDN</t>
        </is>
      </c>
      <c r="Y4" s="9" t="inlineStr">
        <is>
          <t>LN sau thuế</t>
        </is>
      </c>
      <c r="Z4" s="9" t="inlineStr">
        <is>
          <t>Dòng tiền (CF)</t>
        </is>
      </c>
      <c r="AA4" s="9" t="inlineStr">
        <is>
          <t>Lũy kế CF</t>
        </is>
      </c>
      <c r="AB4" s="9" t="inlineStr">
        <is>
          <t>DCF</t>
        </is>
      </c>
      <c r="AC4" s="10" t="inlineStr">
        <is>
          <t>Doanh thu</t>
        </is>
      </c>
      <c r="AD4" s="10" t="inlineStr">
        <is>
          <t>CP biến đổi</t>
        </is>
      </c>
      <c r="AE4" s="10" t="inlineStr">
        <is>
          <t>CP cố định</t>
        </is>
      </c>
      <c r="AF4" s="10" t="inlineStr">
        <is>
          <t>EBITDA</t>
        </is>
      </c>
      <c r="AG4" s="10" t="inlineStr">
        <is>
          <t>Khấu hao</t>
        </is>
      </c>
      <c r="AH4" s="10" t="inlineStr">
        <is>
          <t>EBT</t>
        </is>
      </c>
      <c r="AI4" s="10" t="inlineStr">
        <is>
          <t>Thuế TNDN</t>
        </is>
      </c>
      <c r="AJ4" s="10" t="inlineStr">
        <is>
          <t>LN sau thuế</t>
        </is>
      </c>
      <c r="AK4" s="10" t="inlineStr">
        <is>
          <t>Dòng tiền (CF)</t>
        </is>
      </c>
      <c r="AL4" s="10" t="inlineStr">
        <is>
          <t>Lũy kế CF</t>
        </is>
      </c>
      <c r="AM4" s="10" t="inlineStr">
        <is>
          <t>DCF</t>
        </is>
      </c>
    </row>
    <row r="5" ht="21.95" customHeight="1" s="69">
      <c r="A5" s="50" t="n">
        <v>0</v>
      </c>
      <c r="B5" s="50" t="n">
        <v>0</v>
      </c>
      <c r="C5" s="50" t="n">
        <v>0</v>
      </c>
      <c r="D5" s="50" t="n">
        <v>1</v>
      </c>
      <c r="E5" s="50" t="n">
        <v>1</v>
      </c>
      <c r="F5" s="50" t="n">
        <v>1</v>
      </c>
      <c r="G5" s="80" t="n"/>
      <c r="H5" s="80" t="n"/>
      <c r="I5" s="80" t="n"/>
      <c r="J5" s="80" t="n"/>
      <c r="K5" s="80" t="n"/>
      <c r="L5" s="80" t="n"/>
      <c r="M5" s="80" t="n"/>
      <c r="N5" s="80" t="n"/>
      <c r="O5" s="110">
        <f>-CAPEX_Dau_tu!$G$31</f>
        <v/>
      </c>
      <c r="P5" s="110">
        <f>O5</f>
        <v/>
      </c>
      <c r="Q5" s="110">
        <f>O5*F5</f>
        <v/>
      </c>
      <c r="R5" s="80" t="n"/>
      <c r="S5" s="80" t="n"/>
      <c r="T5" s="80" t="n"/>
      <c r="U5" s="80" t="n"/>
      <c r="V5" s="80" t="n"/>
      <c r="W5" s="80" t="n"/>
      <c r="X5" s="80" t="n"/>
      <c r="Y5" s="80" t="n"/>
      <c r="Z5" s="110">
        <f>-CAPEX_Dau_tu!$G$31</f>
        <v/>
      </c>
      <c r="AA5" s="110">
        <f>Z5</f>
        <v/>
      </c>
      <c r="AB5" s="110">
        <f>Z5*F5</f>
        <v/>
      </c>
      <c r="AC5" s="80" t="n"/>
      <c r="AD5" s="80" t="n"/>
      <c r="AE5" s="80" t="n"/>
      <c r="AF5" s="80" t="n"/>
      <c r="AG5" s="80" t="n"/>
      <c r="AH5" s="80" t="n"/>
      <c r="AI5" s="80" t="n"/>
      <c r="AJ5" s="80" t="n"/>
      <c r="AK5" s="110">
        <f>-CAPEX_Dau_tu!$G$31</f>
        <v/>
      </c>
      <c r="AL5" s="110">
        <f>AK5</f>
        <v/>
      </c>
      <c r="AM5" s="110">
        <f>AK5*F5</f>
        <v/>
      </c>
    </row>
    <row r="6" ht="20.1" customHeight="1" s="69">
      <c r="A6" s="19" t="n">
        <v>1</v>
      </c>
      <c r="B6" s="19">
        <f>INT((A6-1)/12)+1</f>
        <v/>
      </c>
      <c r="C6" s="111">
        <f>Gia_dinh_Dau_vao!$B$44</f>
        <v/>
      </c>
      <c r="D6" s="112">
        <f>(1+Gia_dinh_Dau_vao!$C$10)^(B6-1)</f>
        <v/>
      </c>
      <c r="E6" s="112">
        <f>(1+Gia_dinh_Dau_vao!$C$9)^(B6-1)</f>
        <v/>
      </c>
      <c r="F6" s="112">
        <f>1/(1+Gia_dinh_Dau_vao!$C$12)^(A6/12)</f>
        <v/>
      </c>
      <c r="G6" s="95">
        <f>Gia_dinh_Dau_vao!$C$22*C6*D6</f>
        <v/>
      </c>
      <c r="H6" s="95">
        <f>G6*Gia_dinh_Dau_vao!$C$17</f>
        <v/>
      </c>
      <c r="I6" s="95">
        <f>Gia_dinh_Dau_vao!$F$40*E6</f>
        <v/>
      </c>
      <c r="J6" s="95">
        <f>G6-H6-I6</f>
        <v/>
      </c>
      <c r="K6" s="95">
        <f>IF(A6&lt;=60, CAPEX_Dau_tu!$G$32/60, 0)</f>
        <v/>
      </c>
      <c r="L6" s="95">
        <f>J6-K6</f>
        <v/>
      </c>
      <c r="M6" s="95">
        <f>IF(L6&gt;0, L6*Gia_dinh_Dau_vao!$C$11, 0)</f>
        <v/>
      </c>
      <c r="N6" s="95">
        <f>L6-M6</f>
        <v/>
      </c>
      <c r="O6" s="95">
        <f>J6-M6</f>
        <v/>
      </c>
      <c r="P6" s="95">
        <f>P5+O6</f>
        <v/>
      </c>
      <c r="Q6" s="95">
        <f>O6*F6</f>
        <v/>
      </c>
      <c r="R6" s="95">
        <f>Gia_dinh_Dau_vao!$C$23*C6*D6</f>
        <v/>
      </c>
      <c r="S6" s="95">
        <f>R6*Gia_dinh_Dau_vao!$C$17</f>
        <v/>
      </c>
      <c r="T6" s="95">
        <f>Gia_dinh_Dau_vao!$F$40*E6</f>
        <v/>
      </c>
      <c r="U6" s="95">
        <f>R6-S6-T6</f>
        <v/>
      </c>
      <c r="V6" s="95">
        <f>IF(A6&lt;=60, CAPEX_Dau_tu!$G$32/60, 0)</f>
        <v/>
      </c>
      <c r="W6" s="95">
        <f>U6-V6</f>
        <v/>
      </c>
      <c r="X6" s="95">
        <f>IF(W6&gt;0, W6*Gia_dinh_Dau_vao!$C$11, 0)</f>
        <v/>
      </c>
      <c r="Y6" s="95">
        <f>W6-X6</f>
        <v/>
      </c>
      <c r="Z6" s="95">
        <f>U6-X6</f>
        <v/>
      </c>
      <c r="AA6" s="95">
        <f>AA5+Z6</f>
        <v/>
      </c>
      <c r="AB6" s="95">
        <f>Z6*F6</f>
        <v/>
      </c>
      <c r="AC6" s="95">
        <f>Gia_dinh_Dau_vao!$C$24*C6*D6</f>
        <v/>
      </c>
      <c r="AD6" s="95">
        <f>AC6*Gia_dinh_Dau_vao!$C$17</f>
        <v/>
      </c>
      <c r="AE6" s="95">
        <f>Gia_dinh_Dau_vao!$F$40*E6</f>
        <v/>
      </c>
      <c r="AF6" s="95">
        <f>AC6-AD6-AE6</f>
        <v/>
      </c>
      <c r="AG6" s="95">
        <f>IF(A6&lt;=60, CAPEX_Dau_tu!$G$32/60, 0)</f>
        <v/>
      </c>
      <c r="AH6" s="95">
        <f>AF6-AG6</f>
        <v/>
      </c>
      <c r="AI6" s="95">
        <f>IF(AH6&gt;0, AH6*Gia_dinh_Dau_vao!$C$11, 0)</f>
        <v/>
      </c>
      <c r="AJ6" s="95">
        <f>AH6-AI6</f>
        <v/>
      </c>
      <c r="AK6" s="95">
        <f>AF6-AI6</f>
        <v/>
      </c>
      <c r="AL6" s="95">
        <f>AL5+AK6</f>
        <v/>
      </c>
      <c r="AM6" s="95">
        <f>AK6*F6</f>
        <v/>
      </c>
    </row>
    <row r="7" ht="20.1" customHeight="1" s="69">
      <c r="A7" s="19" t="n">
        <v>2</v>
      </c>
      <c r="B7" s="19">
        <f>INT((A7-1)/12)+1</f>
        <v/>
      </c>
      <c r="C7" s="111">
        <f>Gia_dinh_Dau_vao!$C$44</f>
        <v/>
      </c>
      <c r="D7" s="112">
        <f>(1+Gia_dinh_Dau_vao!$C$10)^(B7-1)</f>
        <v/>
      </c>
      <c r="E7" s="112">
        <f>(1+Gia_dinh_Dau_vao!$C$9)^(B7-1)</f>
        <v/>
      </c>
      <c r="F7" s="112">
        <f>1/(1+Gia_dinh_Dau_vao!$C$12)^(A7/12)</f>
        <v/>
      </c>
      <c r="G7" s="95">
        <f>Gia_dinh_Dau_vao!$C$22*C7*D7</f>
        <v/>
      </c>
      <c r="H7" s="95">
        <f>G7*Gia_dinh_Dau_vao!$C$17</f>
        <v/>
      </c>
      <c r="I7" s="95">
        <f>Gia_dinh_Dau_vao!$F$40*E7</f>
        <v/>
      </c>
      <c r="J7" s="95">
        <f>G7-H7-I7</f>
        <v/>
      </c>
      <c r="K7" s="95">
        <f>IF(A7&lt;=60, CAPEX_Dau_tu!$G$32/60, 0)</f>
        <v/>
      </c>
      <c r="L7" s="95">
        <f>J7-K7</f>
        <v/>
      </c>
      <c r="M7" s="95">
        <f>IF(L7&gt;0, L7*Gia_dinh_Dau_vao!$C$11, 0)</f>
        <v/>
      </c>
      <c r="N7" s="95">
        <f>L7-M7</f>
        <v/>
      </c>
      <c r="O7" s="95">
        <f>J7-M7</f>
        <v/>
      </c>
      <c r="P7" s="95">
        <f>P6+O7</f>
        <v/>
      </c>
      <c r="Q7" s="95">
        <f>O7*F7</f>
        <v/>
      </c>
      <c r="R7" s="95">
        <f>Gia_dinh_Dau_vao!$C$23*C7*D7</f>
        <v/>
      </c>
      <c r="S7" s="95">
        <f>R7*Gia_dinh_Dau_vao!$C$17</f>
        <v/>
      </c>
      <c r="T7" s="95">
        <f>Gia_dinh_Dau_vao!$F$40*E7</f>
        <v/>
      </c>
      <c r="U7" s="95">
        <f>R7-S7-T7</f>
        <v/>
      </c>
      <c r="V7" s="95">
        <f>IF(A7&lt;=60, CAPEX_Dau_tu!$G$32/60, 0)</f>
        <v/>
      </c>
      <c r="W7" s="95">
        <f>U7-V7</f>
        <v/>
      </c>
      <c r="X7" s="95">
        <f>IF(W7&gt;0, W7*Gia_dinh_Dau_vao!$C$11, 0)</f>
        <v/>
      </c>
      <c r="Y7" s="95">
        <f>W7-X7</f>
        <v/>
      </c>
      <c r="Z7" s="95">
        <f>U7-X7</f>
        <v/>
      </c>
      <c r="AA7" s="95">
        <f>AA6+Z7</f>
        <v/>
      </c>
      <c r="AB7" s="95">
        <f>Z7*F7</f>
        <v/>
      </c>
      <c r="AC7" s="95">
        <f>Gia_dinh_Dau_vao!$C$24*C7*D7</f>
        <v/>
      </c>
      <c r="AD7" s="95">
        <f>AC7*Gia_dinh_Dau_vao!$C$17</f>
        <v/>
      </c>
      <c r="AE7" s="95">
        <f>Gia_dinh_Dau_vao!$F$40*E7</f>
        <v/>
      </c>
      <c r="AF7" s="95">
        <f>AC7-AD7-AE7</f>
        <v/>
      </c>
      <c r="AG7" s="95">
        <f>IF(A7&lt;=60, CAPEX_Dau_tu!$G$32/60, 0)</f>
        <v/>
      </c>
      <c r="AH7" s="95">
        <f>AF7-AG7</f>
        <v/>
      </c>
      <c r="AI7" s="95">
        <f>IF(AH7&gt;0, AH7*Gia_dinh_Dau_vao!$C$11, 0)</f>
        <v/>
      </c>
      <c r="AJ7" s="95">
        <f>AH7-AI7</f>
        <v/>
      </c>
      <c r="AK7" s="95">
        <f>AF7-AI7</f>
        <v/>
      </c>
      <c r="AL7" s="95">
        <f>AL6+AK7</f>
        <v/>
      </c>
      <c r="AM7" s="95">
        <f>AK7*F7</f>
        <v/>
      </c>
    </row>
    <row r="8" ht="20.1" customHeight="1" s="69">
      <c r="A8" s="19" t="n">
        <v>3</v>
      </c>
      <c r="B8" s="19">
        <f>INT((A8-1)/12)+1</f>
        <v/>
      </c>
      <c r="C8" s="111">
        <f>Gia_dinh_Dau_vao!$D$44</f>
        <v/>
      </c>
      <c r="D8" s="112">
        <f>(1+Gia_dinh_Dau_vao!$C$10)^(B8-1)</f>
        <v/>
      </c>
      <c r="E8" s="112">
        <f>(1+Gia_dinh_Dau_vao!$C$9)^(B8-1)</f>
        <v/>
      </c>
      <c r="F8" s="112">
        <f>1/(1+Gia_dinh_Dau_vao!$C$12)^(A8/12)</f>
        <v/>
      </c>
      <c r="G8" s="95">
        <f>Gia_dinh_Dau_vao!$C$22*C8*D8</f>
        <v/>
      </c>
      <c r="H8" s="95">
        <f>G8*Gia_dinh_Dau_vao!$C$17</f>
        <v/>
      </c>
      <c r="I8" s="95">
        <f>Gia_dinh_Dau_vao!$F$40*E8</f>
        <v/>
      </c>
      <c r="J8" s="95">
        <f>G8-H8-I8</f>
        <v/>
      </c>
      <c r="K8" s="95">
        <f>IF(A8&lt;=60, CAPEX_Dau_tu!$G$32/60, 0)</f>
        <v/>
      </c>
      <c r="L8" s="95">
        <f>J8-K8</f>
        <v/>
      </c>
      <c r="M8" s="95">
        <f>IF(L8&gt;0, L8*Gia_dinh_Dau_vao!$C$11, 0)</f>
        <v/>
      </c>
      <c r="N8" s="95">
        <f>L8-M8</f>
        <v/>
      </c>
      <c r="O8" s="95">
        <f>J8-M8</f>
        <v/>
      </c>
      <c r="P8" s="95">
        <f>P7+O8</f>
        <v/>
      </c>
      <c r="Q8" s="95">
        <f>O8*F8</f>
        <v/>
      </c>
      <c r="R8" s="95">
        <f>Gia_dinh_Dau_vao!$C$23*C8*D8</f>
        <v/>
      </c>
      <c r="S8" s="95">
        <f>R8*Gia_dinh_Dau_vao!$C$17</f>
        <v/>
      </c>
      <c r="T8" s="95">
        <f>Gia_dinh_Dau_vao!$F$40*E8</f>
        <v/>
      </c>
      <c r="U8" s="95">
        <f>R8-S8-T8</f>
        <v/>
      </c>
      <c r="V8" s="95">
        <f>IF(A8&lt;=60, CAPEX_Dau_tu!$G$32/60, 0)</f>
        <v/>
      </c>
      <c r="W8" s="95">
        <f>U8-V8</f>
        <v/>
      </c>
      <c r="X8" s="95">
        <f>IF(W8&gt;0, W8*Gia_dinh_Dau_vao!$C$11, 0)</f>
        <v/>
      </c>
      <c r="Y8" s="95">
        <f>W8-X8</f>
        <v/>
      </c>
      <c r="Z8" s="95">
        <f>U8-X8</f>
        <v/>
      </c>
      <c r="AA8" s="95">
        <f>AA7+Z8</f>
        <v/>
      </c>
      <c r="AB8" s="95">
        <f>Z8*F8</f>
        <v/>
      </c>
      <c r="AC8" s="95">
        <f>Gia_dinh_Dau_vao!$C$24*C8*D8</f>
        <v/>
      </c>
      <c r="AD8" s="95">
        <f>AC8*Gia_dinh_Dau_vao!$C$17</f>
        <v/>
      </c>
      <c r="AE8" s="95">
        <f>Gia_dinh_Dau_vao!$F$40*E8</f>
        <v/>
      </c>
      <c r="AF8" s="95">
        <f>AC8-AD8-AE8</f>
        <v/>
      </c>
      <c r="AG8" s="95">
        <f>IF(A8&lt;=60, CAPEX_Dau_tu!$G$32/60, 0)</f>
        <v/>
      </c>
      <c r="AH8" s="95">
        <f>AF8-AG8</f>
        <v/>
      </c>
      <c r="AI8" s="95">
        <f>IF(AH8&gt;0, AH8*Gia_dinh_Dau_vao!$C$11, 0)</f>
        <v/>
      </c>
      <c r="AJ8" s="95">
        <f>AH8-AI8</f>
        <v/>
      </c>
      <c r="AK8" s="95">
        <f>AF8-AI8</f>
        <v/>
      </c>
      <c r="AL8" s="95">
        <f>AL7+AK8</f>
        <v/>
      </c>
      <c r="AM8" s="95">
        <f>AK8*F8</f>
        <v/>
      </c>
    </row>
    <row r="9" ht="20.1" customHeight="1" s="69">
      <c r="A9" s="19" t="n">
        <v>4</v>
      </c>
      <c r="B9" s="19">
        <f>INT((A9-1)/12)+1</f>
        <v/>
      </c>
      <c r="C9" s="111">
        <f>Gia_dinh_Dau_vao!$E$44</f>
        <v/>
      </c>
      <c r="D9" s="112">
        <f>(1+Gia_dinh_Dau_vao!$C$10)^(B9-1)</f>
        <v/>
      </c>
      <c r="E9" s="112">
        <f>(1+Gia_dinh_Dau_vao!$C$9)^(B9-1)</f>
        <v/>
      </c>
      <c r="F9" s="112">
        <f>1/(1+Gia_dinh_Dau_vao!$C$12)^(A9/12)</f>
        <v/>
      </c>
      <c r="G9" s="95">
        <f>Gia_dinh_Dau_vao!$C$22*C9*D9</f>
        <v/>
      </c>
      <c r="H9" s="95">
        <f>G9*Gia_dinh_Dau_vao!$C$17</f>
        <v/>
      </c>
      <c r="I9" s="95">
        <f>Gia_dinh_Dau_vao!$F$40*E9</f>
        <v/>
      </c>
      <c r="J9" s="95">
        <f>G9-H9-I9</f>
        <v/>
      </c>
      <c r="K9" s="95">
        <f>IF(A9&lt;=60, CAPEX_Dau_tu!$G$32/60, 0)</f>
        <v/>
      </c>
      <c r="L9" s="95">
        <f>J9-K9</f>
        <v/>
      </c>
      <c r="M9" s="95">
        <f>IF(L9&gt;0, L9*Gia_dinh_Dau_vao!$C$11, 0)</f>
        <v/>
      </c>
      <c r="N9" s="95">
        <f>L9-M9</f>
        <v/>
      </c>
      <c r="O9" s="95">
        <f>J9-M9</f>
        <v/>
      </c>
      <c r="P9" s="95">
        <f>P8+O9</f>
        <v/>
      </c>
      <c r="Q9" s="95">
        <f>O9*F9</f>
        <v/>
      </c>
      <c r="R9" s="95">
        <f>Gia_dinh_Dau_vao!$C$23*C9*D9</f>
        <v/>
      </c>
      <c r="S9" s="95">
        <f>R9*Gia_dinh_Dau_vao!$C$17</f>
        <v/>
      </c>
      <c r="T9" s="95">
        <f>Gia_dinh_Dau_vao!$F$40*E9</f>
        <v/>
      </c>
      <c r="U9" s="95">
        <f>R9-S9-T9</f>
        <v/>
      </c>
      <c r="V9" s="95">
        <f>IF(A9&lt;=60, CAPEX_Dau_tu!$G$32/60, 0)</f>
        <v/>
      </c>
      <c r="W9" s="95">
        <f>U9-V9</f>
        <v/>
      </c>
      <c r="X9" s="95">
        <f>IF(W9&gt;0, W9*Gia_dinh_Dau_vao!$C$11, 0)</f>
        <v/>
      </c>
      <c r="Y9" s="95">
        <f>W9-X9</f>
        <v/>
      </c>
      <c r="Z9" s="95">
        <f>U9-X9</f>
        <v/>
      </c>
      <c r="AA9" s="95">
        <f>AA8+Z9</f>
        <v/>
      </c>
      <c r="AB9" s="95">
        <f>Z9*F9</f>
        <v/>
      </c>
      <c r="AC9" s="95">
        <f>Gia_dinh_Dau_vao!$C$24*C9*D9</f>
        <v/>
      </c>
      <c r="AD9" s="95">
        <f>AC9*Gia_dinh_Dau_vao!$C$17</f>
        <v/>
      </c>
      <c r="AE9" s="95">
        <f>Gia_dinh_Dau_vao!$F$40*E9</f>
        <v/>
      </c>
      <c r="AF9" s="95">
        <f>AC9-AD9-AE9</f>
        <v/>
      </c>
      <c r="AG9" s="95">
        <f>IF(A9&lt;=60, CAPEX_Dau_tu!$G$32/60, 0)</f>
        <v/>
      </c>
      <c r="AH9" s="95">
        <f>AF9-AG9</f>
        <v/>
      </c>
      <c r="AI9" s="95">
        <f>IF(AH9&gt;0, AH9*Gia_dinh_Dau_vao!$C$11, 0)</f>
        <v/>
      </c>
      <c r="AJ9" s="95">
        <f>AH9-AI9</f>
        <v/>
      </c>
      <c r="AK9" s="95">
        <f>AF9-AI9</f>
        <v/>
      </c>
      <c r="AL9" s="95">
        <f>AL8+AK9</f>
        <v/>
      </c>
      <c r="AM9" s="95">
        <f>AK9*F9</f>
        <v/>
      </c>
    </row>
    <row r="10" ht="20.1" customHeight="1" s="69">
      <c r="A10" s="19" t="n">
        <v>5</v>
      </c>
      <c r="B10" s="19">
        <f>INT((A10-1)/12)+1</f>
        <v/>
      </c>
      <c r="C10" s="111">
        <f>Gia_dinh_Dau_vao!$F$44</f>
        <v/>
      </c>
      <c r="D10" s="112">
        <f>(1+Gia_dinh_Dau_vao!$C$10)^(B10-1)</f>
        <v/>
      </c>
      <c r="E10" s="112">
        <f>(1+Gia_dinh_Dau_vao!$C$9)^(B10-1)</f>
        <v/>
      </c>
      <c r="F10" s="112">
        <f>1/(1+Gia_dinh_Dau_vao!$C$12)^(A10/12)</f>
        <v/>
      </c>
      <c r="G10" s="95">
        <f>Gia_dinh_Dau_vao!$C$22*C10*D10</f>
        <v/>
      </c>
      <c r="H10" s="95">
        <f>G10*Gia_dinh_Dau_vao!$C$17</f>
        <v/>
      </c>
      <c r="I10" s="95">
        <f>Gia_dinh_Dau_vao!$F$40*E10</f>
        <v/>
      </c>
      <c r="J10" s="95">
        <f>G10-H10-I10</f>
        <v/>
      </c>
      <c r="K10" s="95">
        <f>IF(A10&lt;=60, CAPEX_Dau_tu!$G$32/60, 0)</f>
        <v/>
      </c>
      <c r="L10" s="95">
        <f>J10-K10</f>
        <v/>
      </c>
      <c r="M10" s="95">
        <f>IF(L10&gt;0, L10*Gia_dinh_Dau_vao!$C$11, 0)</f>
        <v/>
      </c>
      <c r="N10" s="95">
        <f>L10-M10</f>
        <v/>
      </c>
      <c r="O10" s="95">
        <f>J10-M10</f>
        <v/>
      </c>
      <c r="P10" s="95">
        <f>P9+O10</f>
        <v/>
      </c>
      <c r="Q10" s="95">
        <f>O10*F10</f>
        <v/>
      </c>
      <c r="R10" s="95">
        <f>Gia_dinh_Dau_vao!$C$23*C10*D10</f>
        <v/>
      </c>
      <c r="S10" s="95">
        <f>R10*Gia_dinh_Dau_vao!$C$17</f>
        <v/>
      </c>
      <c r="T10" s="95">
        <f>Gia_dinh_Dau_vao!$F$40*E10</f>
        <v/>
      </c>
      <c r="U10" s="95">
        <f>R10-S10-T10</f>
        <v/>
      </c>
      <c r="V10" s="95">
        <f>IF(A10&lt;=60, CAPEX_Dau_tu!$G$32/60, 0)</f>
        <v/>
      </c>
      <c r="W10" s="95">
        <f>U10-V10</f>
        <v/>
      </c>
      <c r="X10" s="95">
        <f>IF(W10&gt;0, W10*Gia_dinh_Dau_vao!$C$11, 0)</f>
        <v/>
      </c>
      <c r="Y10" s="95">
        <f>W10-X10</f>
        <v/>
      </c>
      <c r="Z10" s="95">
        <f>U10-X10</f>
        <v/>
      </c>
      <c r="AA10" s="95">
        <f>AA9+Z10</f>
        <v/>
      </c>
      <c r="AB10" s="95">
        <f>Z10*F10</f>
        <v/>
      </c>
      <c r="AC10" s="95">
        <f>Gia_dinh_Dau_vao!$C$24*C10*D10</f>
        <v/>
      </c>
      <c r="AD10" s="95">
        <f>AC10*Gia_dinh_Dau_vao!$C$17</f>
        <v/>
      </c>
      <c r="AE10" s="95">
        <f>Gia_dinh_Dau_vao!$F$40*E10</f>
        <v/>
      </c>
      <c r="AF10" s="95">
        <f>AC10-AD10-AE10</f>
        <v/>
      </c>
      <c r="AG10" s="95">
        <f>IF(A10&lt;=60, CAPEX_Dau_tu!$G$32/60, 0)</f>
        <v/>
      </c>
      <c r="AH10" s="95">
        <f>AF10-AG10</f>
        <v/>
      </c>
      <c r="AI10" s="95">
        <f>IF(AH10&gt;0, AH10*Gia_dinh_Dau_vao!$C$11, 0)</f>
        <v/>
      </c>
      <c r="AJ10" s="95">
        <f>AH10-AI10</f>
        <v/>
      </c>
      <c r="AK10" s="95">
        <f>AF10-AI10</f>
        <v/>
      </c>
      <c r="AL10" s="95">
        <f>AL9+AK10</f>
        <v/>
      </c>
      <c r="AM10" s="95">
        <f>AK10*F10</f>
        <v/>
      </c>
    </row>
    <row r="11" ht="20.1" customHeight="1" s="69">
      <c r="A11" s="19" t="n">
        <v>6</v>
      </c>
      <c r="B11" s="19">
        <f>INT((A11-1)/12)+1</f>
        <v/>
      </c>
      <c r="C11" s="111">
        <f>Gia_dinh_Dau_vao!$G$44</f>
        <v/>
      </c>
      <c r="D11" s="112">
        <f>(1+Gia_dinh_Dau_vao!$C$10)^(B11-1)</f>
        <v/>
      </c>
      <c r="E11" s="112">
        <f>(1+Gia_dinh_Dau_vao!$C$9)^(B11-1)</f>
        <v/>
      </c>
      <c r="F11" s="112">
        <f>1/(1+Gia_dinh_Dau_vao!$C$12)^(A11/12)</f>
        <v/>
      </c>
      <c r="G11" s="95">
        <f>Gia_dinh_Dau_vao!$C$22*C11*D11</f>
        <v/>
      </c>
      <c r="H11" s="95">
        <f>G11*Gia_dinh_Dau_vao!$C$17</f>
        <v/>
      </c>
      <c r="I11" s="95">
        <f>Gia_dinh_Dau_vao!$F$40*E11</f>
        <v/>
      </c>
      <c r="J11" s="95">
        <f>G11-H11-I11</f>
        <v/>
      </c>
      <c r="K11" s="95">
        <f>IF(A11&lt;=60, CAPEX_Dau_tu!$G$32/60, 0)</f>
        <v/>
      </c>
      <c r="L11" s="95">
        <f>J11-K11</f>
        <v/>
      </c>
      <c r="M11" s="95">
        <f>IF(L11&gt;0, L11*Gia_dinh_Dau_vao!$C$11, 0)</f>
        <v/>
      </c>
      <c r="N11" s="95">
        <f>L11-M11</f>
        <v/>
      </c>
      <c r="O11" s="95">
        <f>J11-M11</f>
        <v/>
      </c>
      <c r="P11" s="95">
        <f>P10+O11</f>
        <v/>
      </c>
      <c r="Q11" s="95">
        <f>O11*F11</f>
        <v/>
      </c>
      <c r="R11" s="95">
        <f>Gia_dinh_Dau_vao!$C$23*C11*D11</f>
        <v/>
      </c>
      <c r="S11" s="95">
        <f>R11*Gia_dinh_Dau_vao!$C$17</f>
        <v/>
      </c>
      <c r="T11" s="95">
        <f>Gia_dinh_Dau_vao!$F$40*E11</f>
        <v/>
      </c>
      <c r="U11" s="95">
        <f>R11-S11-T11</f>
        <v/>
      </c>
      <c r="V11" s="95">
        <f>IF(A11&lt;=60, CAPEX_Dau_tu!$G$32/60, 0)</f>
        <v/>
      </c>
      <c r="W11" s="95">
        <f>U11-V11</f>
        <v/>
      </c>
      <c r="X11" s="95">
        <f>IF(W11&gt;0, W11*Gia_dinh_Dau_vao!$C$11, 0)</f>
        <v/>
      </c>
      <c r="Y11" s="95">
        <f>W11-X11</f>
        <v/>
      </c>
      <c r="Z11" s="95">
        <f>U11-X11</f>
        <v/>
      </c>
      <c r="AA11" s="95">
        <f>AA10+Z11</f>
        <v/>
      </c>
      <c r="AB11" s="95">
        <f>Z11*F11</f>
        <v/>
      </c>
      <c r="AC11" s="95">
        <f>Gia_dinh_Dau_vao!$C$24*C11*D11</f>
        <v/>
      </c>
      <c r="AD11" s="95">
        <f>AC11*Gia_dinh_Dau_vao!$C$17</f>
        <v/>
      </c>
      <c r="AE11" s="95">
        <f>Gia_dinh_Dau_vao!$F$40*E11</f>
        <v/>
      </c>
      <c r="AF11" s="95">
        <f>AC11-AD11-AE11</f>
        <v/>
      </c>
      <c r="AG11" s="95">
        <f>IF(A11&lt;=60, CAPEX_Dau_tu!$G$32/60, 0)</f>
        <v/>
      </c>
      <c r="AH11" s="95">
        <f>AF11-AG11</f>
        <v/>
      </c>
      <c r="AI11" s="95">
        <f>IF(AH11&gt;0, AH11*Gia_dinh_Dau_vao!$C$11, 0)</f>
        <v/>
      </c>
      <c r="AJ11" s="95">
        <f>AH11-AI11</f>
        <v/>
      </c>
      <c r="AK11" s="95">
        <f>AF11-AI11</f>
        <v/>
      </c>
      <c r="AL11" s="95">
        <f>AL10+AK11</f>
        <v/>
      </c>
      <c r="AM11" s="95">
        <f>AK11*F11</f>
        <v/>
      </c>
    </row>
    <row r="12" ht="20.1" customHeight="1" s="69">
      <c r="A12" s="19" t="n">
        <v>7</v>
      </c>
      <c r="B12" s="19">
        <f>INT((A12-1)/12)+1</f>
        <v/>
      </c>
      <c r="C12" s="111">
        <f>Gia_dinh_Dau_vao!$G$44</f>
        <v/>
      </c>
      <c r="D12" s="112">
        <f>(1+Gia_dinh_Dau_vao!$C$10)^(B12-1)</f>
        <v/>
      </c>
      <c r="E12" s="112">
        <f>(1+Gia_dinh_Dau_vao!$C$9)^(B12-1)</f>
        <v/>
      </c>
      <c r="F12" s="112">
        <f>1/(1+Gia_dinh_Dau_vao!$C$12)^(A12/12)</f>
        <v/>
      </c>
      <c r="G12" s="95">
        <f>Gia_dinh_Dau_vao!$C$22*C12*D12</f>
        <v/>
      </c>
      <c r="H12" s="95">
        <f>G12*Gia_dinh_Dau_vao!$C$17</f>
        <v/>
      </c>
      <c r="I12" s="95">
        <f>Gia_dinh_Dau_vao!$F$40*E12</f>
        <v/>
      </c>
      <c r="J12" s="95">
        <f>G12-H12-I12</f>
        <v/>
      </c>
      <c r="K12" s="95">
        <f>IF(A12&lt;=60, CAPEX_Dau_tu!$G$32/60, 0)</f>
        <v/>
      </c>
      <c r="L12" s="95">
        <f>J12-K12</f>
        <v/>
      </c>
      <c r="M12" s="95">
        <f>IF(L12&gt;0, L12*Gia_dinh_Dau_vao!$C$11, 0)</f>
        <v/>
      </c>
      <c r="N12" s="95">
        <f>L12-M12</f>
        <v/>
      </c>
      <c r="O12" s="95">
        <f>J12-M12</f>
        <v/>
      </c>
      <c r="P12" s="95">
        <f>P11+O12</f>
        <v/>
      </c>
      <c r="Q12" s="95">
        <f>O12*F12</f>
        <v/>
      </c>
      <c r="R12" s="95">
        <f>Gia_dinh_Dau_vao!$C$23*C12*D12</f>
        <v/>
      </c>
      <c r="S12" s="95">
        <f>R12*Gia_dinh_Dau_vao!$C$17</f>
        <v/>
      </c>
      <c r="T12" s="95">
        <f>Gia_dinh_Dau_vao!$F$40*E12</f>
        <v/>
      </c>
      <c r="U12" s="95">
        <f>R12-S12-T12</f>
        <v/>
      </c>
      <c r="V12" s="95">
        <f>IF(A12&lt;=60, CAPEX_Dau_tu!$G$32/60, 0)</f>
        <v/>
      </c>
      <c r="W12" s="95">
        <f>U12-V12</f>
        <v/>
      </c>
      <c r="X12" s="95">
        <f>IF(W12&gt;0, W12*Gia_dinh_Dau_vao!$C$11, 0)</f>
        <v/>
      </c>
      <c r="Y12" s="95">
        <f>W12-X12</f>
        <v/>
      </c>
      <c r="Z12" s="95">
        <f>U12-X12</f>
        <v/>
      </c>
      <c r="AA12" s="95">
        <f>AA11+Z12</f>
        <v/>
      </c>
      <c r="AB12" s="95">
        <f>Z12*F12</f>
        <v/>
      </c>
      <c r="AC12" s="95">
        <f>Gia_dinh_Dau_vao!$C$24*C12*D12</f>
        <v/>
      </c>
      <c r="AD12" s="95">
        <f>AC12*Gia_dinh_Dau_vao!$C$17</f>
        <v/>
      </c>
      <c r="AE12" s="95">
        <f>Gia_dinh_Dau_vao!$F$40*E12</f>
        <v/>
      </c>
      <c r="AF12" s="95">
        <f>AC12-AD12-AE12</f>
        <v/>
      </c>
      <c r="AG12" s="95">
        <f>IF(A12&lt;=60, CAPEX_Dau_tu!$G$32/60, 0)</f>
        <v/>
      </c>
      <c r="AH12" s="95">
        <f>AF12-AG12</f>
        <v/>
      </c>
      <c r="AI12" s="95">
        <f>IF(AH12&gt;0, AH12*Gia_dinh_Dau_vao!$C$11, 0)</f>
        <v/>
      </c>
      <c r="AJ12" s="95">
        <f>AH12-AI12</f>
        <v/>
      </c>
      <c r="AK12" s="95">
        <f>AF12-AI12</f>
        <v/>
      </c>
      <c r="AL12" s="95">
        <f>AL11+AK12</f>
        <v/>
      </c>
      <c r="AM12" s="95">
        <f>AK12*F12</f>
        <v/>
      </c>
    </row>
    <row r="13" ht="20.1" customHeight="1" s="69">
      <c r="A13" s="19" t="n">
        <v>8</v>
      </c>
      <c r="B13" s="19">
        <f>INT((A13-1)/12)+1</f>
        <v/>
      </c>
      <c r="C13" s="111">
        <f>Gia_dinh_Dau_vao!$G$44</f>
        <v/>
      </c>
      <c r="D13" s="112">
        <f>(1+Gia_dinh_Dau_vao!$C$10)^(B13-1)</f>
        <v/>
      </c>
      <c r="E13" s="112">
        <f>(1+Gia_dinh_Dau_vao!$C$9)^(B13-1)</f>
        <v/>
      </c>
      <c r="F13" s="112">
        <f>1/(1+Gia_dinh_Dau_vao!$C$12)^(A13/12)</f>
        <v/>
      </c>
      <c r="G13" s="95">
        <f>Gia_dinh_Dau_vao!$C$22*C13*D13</f>
        <v/>
      </c>
      <c r="H13" s="95">
        <f>G13*Gia_dinh_Dau_vao!$C$17</f>
        <v/>
      </c>
      <c r="I13" s="95">
        <f>Gia_dinh_Dau_vao!$F$40*E13</f>
        <v/>
      </c>
      <c r="J13" s="95">
        <f>G13-H13-I13</f>
        <v/>
      </c>
      <c r="K13" s="95">
        <f>IF(A13&lt;=60, CAPEX_Dau_tu!$G$32/60, 0)</f>
        <v/>
      </c>
      <c r="L13" s="95">
        <f>J13-K13</f>
        <v/>
      </c>
      <c r="M13" s="95">
        <f>IF(L13&gt;0, L13*Gia_dinh_Dau_vao!$C$11, 0)</f>
        <v/>
      </c>
      <c r="N13" s="95">
        <f>L13-M13</f>
        <v/>
      </c>
      <c r="O13" s="95">
        <f>J13-M13</f>
        <v/>
      </c>
      <c r="P13" s="95">
        <f>P12+O13</f>
        <v/>
      </c>
      <c r="Q13" s="95">
        <f>O13*F13</f>
        <v/>
      </c>
      <c r="R13" s="95">
        <f>Gia_dinh_Dau_vao!$C$23*C13*D13</f>
        <v/>
      </c>
      <c r="S13" s="95">
        <f>R13*Gia_dinh_Dau_vao!$C$17</f>
        <v/>
      </c>
      <c r="T13" s="95">
        <f>Gia_dinh_Dau_vao!$F$40*E13</f>
        <v/>
      </c>
      <c r="U13" s="95">
        <f>R13-S13-T13</f>
        <v/>
      </c>
      <c r="V13" s="95">
        <f>IF(A13&lt;=60, CAPEX_Dau_tu!$G$32/60, 0)</f>
        <v/>
      </c>
      <c r="W13" s="95">
        <f>U13-V13</f>
        <v/>
      </c>
      <c r="X13" s="95">
        <f>IF(W13&gt;0, W13*Gia_dinh_Dau_vao!$C$11, 0)</f>
        <v/>
      </c>
      <c r="Y13" s="95">
        <f>W13-X13</f>
        <v/>
      </c>
      <c r="Z13" s="95">
        <f>U13-X13</f>
        <v/>
      </c>
      <c r="AA13" s="95">
        <f>AA12+Z13</f>
        <v/>
      </c>
      <c r="AB13" s="95">
        <f>Z13*F13</f>
        <v/>
      </c>
      <c r="AC13" s="95">
        <f>Gia_dinh_Dau_vao!$C$24*C13*D13</f>
        <v/>
      </c>
      <c r="AD13" s="95">
        <f>AC13*Gia_dinh_Dau_vao!$C$17</f>
        <v/>
      </c>
      <c r="AE13" s="95">
        <f>Gia_dinh_Dau_vao!$F$40*E13</f>
        <v/>
      </c>
      <c r="AF13" s="95">
        <f>AC13-AD13-AE13</f>
        <v/>
      </c>
      <c r="AG13" s="95">
        <f>IF(A13&lt;=60, CAPEX_Dau_tu!$G$32/60, 0)</f>
        <v/>
      </c>
      <c r="AH13" s="95">
        <f>AF13-AG13</f>
        <v/>
      </c>
      <c r="AI13" s="95">
        <f>IF(AH13&gt;0, AH13*Gia_dinh_Dau_vao!$C$11, 0)</f>
        <v/>
      </c>
      <c r="AJ13" s="95">
        <f>AH13-AI13</f>
        <v/>
      </c>
      <c r="AK13" s="95">
        <f>AF13-AI13</f>
        <v/>
      </c>
      <c r="AL13" s="95">
        <f>AL12+AK13</f>
        <v/>
      </c>
      <c r="AM13" s="95">
        <f>AK13*F13</f>
        <v/>
      </c>
    </row>
    <row r="14" ht="20.1" customHeight="1" s="69">
      <c r="A14" s="19" t="n">
        <v>9</v>
      </c>
      <c r="B14" s="19">
        <f>INT((A14-1)/12)+1</f>
        <v/>
      </c>
      <c r="C14" s="111">
        <f>Gia_dinh_Dau_vao!$G$44</f>
        <v/>
      </c>
      <c r="D14" s="112">
        <f>(1+Gia_dinh_Dau_vao!$C$10)^(B14-1)</f>
        <v/>
      </c>
      <c r="E14" s="112">
        <f>(1+Gia_dinh_Dau_vao!$C$9)^(B14-1)</f>
        <v/>
      </c>
      <c r="F14" s="112">
        <f>1/(1+Gia_dinh_Dau_vao!$C$12)^(A14/12)</f>
        <v/>
      </c>
      <c r="G14" s="95">
        <f>Gia_dinh_Dau_vao!$C$22*C14*D14</f>
        <v/>
      </c>
      <c r="H14" s="95">
        <f>G14*Gia_dinh_Dau_vao!$C$17</f>
        <v/>
      </c>
      <c r="I14" s="95">
        <f>Gia_dinh_Dau_vao!$F$40*E14</f>
        <v/>
      </c>
      <c r="J14" s="95">
        <f>G14-H14-I14</f>
        <v/>
      </c>
      <c r="K14" s="95">
        <f>IF(A14&lt;=60, CAPEX_Dau_tu!$G$32/60, 0)</f>
        <v/>
      </c>
      <c r="L14" s="95">
        <f>J14-K14</f>
        <v/>
      </c>
      <c r="M14" s="95">
        <f>IF(L14&gt;0, L14*Gia_dinh_Dau_vao!$C$11, 0)</f>
        <v/>
      </c>
      <c r="N14" s="95">
        <f>L14-M14</f>
        <v/>
      </c>
      <c r="O14" s="95">
        <f>J14-M14</f>
        <v/>
      </c>
      <c r="P14" s="95">
        <f>P13+O14</f>
        <v/>
      </c>
      <c r="Q14" s="95">
        <f>O14*F14</f>
        <v/>
      </c>
      <c r="R14" s="95">
        <f>Gia_dinh_Dau_vao!$C$23*C14*D14</f>
        <v/>
      </c>
      <c r="S14" s="95">
        <f>R14*Gia_dinh_Dau_vao!$C$17</f>
        <v/>
      </c>
      <c r="T14" s="95">
        <f>Gia_dinh_Dau_vao!$F$40*E14</f>
        <v/>
      </c>
      <c r="U14" s="95">
        <f>R14-S14-T14</f>
        <v/>
      </c>
      <c r="V14" s="95">
        <f>IF(A14&lt;=60, CAPEX_Dau_tu!$G$32/60, 0)</f>
        <v/>
      </c>
      <c r="W14" s="95">
        <f>U14-V14</f>
        <v/>
      </c>
      <c r="X14" s="95">
        <f>IF(W14&gt;0, W14*Gia_dinh_Dau_vao!$C$11, 0)</f>
        <v/>
      </c>
      <c r="Y14" s="95">
        <f>W14-X14</f>
        <v/>
      </c>
      <c r="Z14" s="95">
        <f>U14-X14</f>
        <v/>
      </c>
      <c r="AA14" s="95">
        <f>AA13+Z14</f>
        <v/>
      </c>
      <c r="AB14" s="95">
        <f>Z14*F14</f>
        <v/>
      </c>
      <c r="AC14" s="95">
        <f>Gia_dinh_Dau_vao!$C$24*C14*D14</f>
        <v/>
      </c>
      <c r="AD14" s="95">
        <f>AC14*Gia_dinh_Dau_vao!$C$17</f>
        <v/>
      </c>
      <c r="AE14" s="95">
        <f>Gia_dinh_Dau_vao!$F$40*E14</f>
        <v/>
      </c>
      <c r="AF14" s="95">
        <f>AC14-AD14-AE14</f>
        <v/>
      </c>
      <c r="AG14" s="95">
        <f>IF(A14&lt;=60, CAPEX_Dau_tu!$G$32/60, 0)</f>
        <v/>
      </c>
      <c r="AH14" s="95">
        <f>AF14-AG14</f>
        <v/>
      </c>
      <c r="AI14" s="95">
        <f>IF(AH14&gt;0, AH14*Gia_dinh_Dau_vao!$C$11, 0)</f>
        <v/>
      </c>
      <c r="AJ14" s="95">
        <f>AH14-AI14</f>
        <v/>
      </c>
      <c r="AK14" s="95">
        <f>AF14-AI14</f>
        <v/>
      </c>
      <c r="AL14" s="95">
        <f>AL13+AK14</f>
        <v/>
      </c>
      <c r="AM14" s="95">
        <f>AK14*F14</f>
        <v/>
      </c>
    </row>
    <row r="15" ht="20.1" customHeight="1" s="69">
      <c r="A15" s="19" t="n">
        <v>10</v>
      </c>
      <c r="B15" s="19">
        <f>INT((A15-1)/12)+1</f>
        <v/>
      </c>
      <c r="C15" s="111">
        <f>Gia_dinh_Dau_vao!$G$44</f>
        <v/>
      </c>
      <c r="D15" s="112">
        <f>(1+Gia_dinh_Dau_vao!$C$10)^(B15-1)</f>
        <v/>
      </c>
      <c r="E15" s="112">
        <f>(1+Gia_dinh_Dau_vao!$C$9)^(B15-1)</f>
        <v/>
      </c>
      <c r="F15" s="112">
        <f>1/(1+Gia_dinh_Dau_vao!$C$12)^(A15/12)</f>
        <v/>
      </c>
      <c r="G15" s="95">
        <f>Gia_dinh_Dau_vao!$C$22*C15*D15</f>
        <v/>
      </c>
      <c r="H15" s="95">
        <f>G15*Gia_dinh_Dau_vao!$C$17</f>
        <v/>
      </c>
      <c r="I15" s="95">
        <f>Gia_dinh_Dau_vao!$F$40*E15</f>
        <v/>
      </c>
      <c r="J15" s="95">
        <f>G15-H15-I15</f>
        <v/>
      </c>
      <c r="K15" s="95">
        <f>IF(A15&lt;=60, CAPEX_Dau_tu!$G$32/60, 0)</f>
        <v/>
      </c>
      <c r="L15" s="95">
        <f>J15-K15</f>
        <v/>
      </c>
      <c r="M15" s="95">
        <f>IF(L15&gt;0, L15*Gia_dinh_Dau_vao!$C$11, 0)</f>
        <v/>
      </c>
      <c r="N15" s="95">
        <f>L15-M15</f>
        <v/>
      </c>
      <c r="O15" s="95">
        <f>J15-M15</f>
        <v/>
      </c>
      <c r="P15" s="95">
        <f>P14+O15</f>
        <v/>
      </c>
      <c r="Q15" s="95">
        <f>O15*F15</f>
        <v/>
      </c>
      <c r="R15" s="95">
        <f>Gia_dinh_Dau_vao!$C$23*C15*D15</f>
        <v/>
      </c>
      <c r="S15" s="95">
        <f>R15*Gia_dinh_Dau_vao!$C$17</f>
        <v/>
      </c>
      <c r="T15" s="95">
        <f>Gia_dinh_Dau_vao!$F$40*E15</f>
        <v/>
      </c>
      <c r="U15" s="95">
        <f>R15-S15-T15</f>
        <v/>
      </c>
      <c r="V15" s="95">
        <f>IF(A15&lt;=60, CAPEX_Dau_tu!$G$32/60, 0)</f>
        <v/>
      </c>
      <c r="W15" s="95">
        <f>U15-V15</f>
        <v/>
      </c>
      <c r="X15" s="95">
        <f>IF(W15&gt;0, W15*Gia_dinh_Dau_vao!$C$11, 0)</f>
        <v/>
      </c>
      <c r="Y15" s="95">
        <f>W15-X15</f>
        <v/>
      </c>
      <c r="Z15" s="95">
        <f>U15-X15</f>
        <v/>
      </c>
      <c r="AA15" s="95">
        <f>AA14+Z15</f>
        <v/>
      </c>
      <c r="AB15" s="95">
        <f>Z15*F15</f>
        <v/>
      </c>
      <c r="AC15" s="95">
        <f>Gia_dinh_Dau_vao!$C$24*C15*D15</f>
        <v/>
      </c>
      <c r="AD15" s="95">
        <f>AC15*Gia_dinh_Dau_vao!$C$17</f>
        <v/>
      </c>
      <c r="AE15" s="95">
        <f>Gia_dinh_Dau_vao!$F$40*E15</f>
        <v/>
      </c>
      <c r="AF15" s="95">
        <f>AC15-AD15-AE15</f>
        <v/>
      </c>
      <c r="AG15" s="95">
        <f>IF(A15&lt;=60, CAPEX_Dau_tu!$G$32/60, 0)</f>
        <v/>
      </c>
      <c r="AH15" s="95">
        <f>AF15-AG15</f>
        <v/>
      </c>
      <c r="AI15" s="95">
        <f>IF(AH15&gt;0, AH15*Gia_dinh_Dau_vao!$C$11, 0)</f>
        <v/>
      </c>
      <c r="AJ15" s="95">
        <f>AH15-AI15</f>
        <v/>
      </c>
      <c r="AK15" s="95">
        <f>AF15-AI15</f>
        <v/>
      </c>
      <c r="AL15" s="95">
        <f>AL14+AK15</f>
        <v/>
      </c>
      <c r="AM15" s="95">
        <f>AK15*F15</f>
        <v/>
      </c>
    </row>
    <row r="16" ht="20.1" customHeight="1" s="69">
      <c r="A16" s="19" t="n">
        <v>11</v>
      </c>
      <c r="B16" s="19">
        <f>INT((A16-1)/12)+1</f>
        <v/>
      </c>
      <c r="C16" s="111">
        <f>Gia_dinh_Dau_vao!$G$44</f>
        <v/>
      </c>
      <c r="D16" s="112">
        <f>(1+Gia_dinh_Dau_vao!$C$10)^(B16-1)</f>
        <v/>
      </c>
      <c r="E16" s="112">
        <f>(1+Gia_dinh_Dau_vao!$C$9)^(B16-1)</f>
        <v/>
      </c>
      <c r="F16" s="112">
        <f>1/(1+Gia_dinh_Dau_vao!$C$12)^(A16/12)</f>
        <v/>
      </c>
      <c r="G16" s="95">
        <f>Gia_dinh_Dau_vao!$C$22*C16*D16</f>
        <v/>
      </c>
      <c r="H16" s="95">
        <f>G16*Gia_dinh_Dau_vao!$C$17</f>
        <v/>
      </c>
      <c r="I16" s="95">
        <f>Gia_dinh_Dau_vao!$F$40*E16</f>
        <v/>
      </c>
      <c r="J16" s="95">
        <f>G16-H16-I16</f>
        <v/>
      </c>
      <c r="K16" s="95">
        <f>IF(A16&lt;=60, CAPEX_Dau_tu!$G$32/60, 0)</f>
        <v/>
      </c>
      <c r="L16" s="95">
        <f>J16-K16</f>
        <v/>
      </c>
      <c r="M16" s="95">
        <f>IF(L16&gt;0, L16*Gia_dinh_Dau_vao!$C$11, 0)</f>
        <v/>
      </c>
      <c r="N16" s="95">
        <f>L16-M16</f>
        <v/>
      </c>
      <c r="O16" s="95">
        <f>J16-M16</f>
        <v/>
      </c>
      <c r="P16" s="95">
        <f>P15+O16</f>
        <v/>
      </c>
      <c r="Q16" s="95">
        <f>O16*F16</f>
        <v/>
      </c>
      <c r="R16" s="95">
        <f>Gia_dinh_Dau_vao!$C$23*C16*D16</f>
        <v/>
      </c>
      <c r="S16" s="95">
        <f>R16*Gia_dinh_Dau_vao!$C$17</f>
        <v/>
      </c>
      <c r="T16" s="95">
        <f>Gia_dinh_Dau_vao!$F$40*E16</f>
        <v/>
      </c>
      <c r="U16" s="95">
        <f>R16-S16-T16</f>
        <v/>
      </c>
      <c r="V16" s="95">
        <f>IF(A16&lt;=60, CAPEX_Dau_tu!$G$32/60, 0)</f>
        <v/>
      </c>
      <c r="W16" s="95">
        <f>U16-V16</f>
        <v/>
      </c>
      <c r="X16" s="95">
        <f>IF(W16&gt;0, W16*Gia_dinh_Dau_vao!$C$11, 0)</f>
        <v/>
      </c>
      <c r="Y16" s="95">
        <f>W16-X16</f>
        <v/>
      </c>
      <c r="Z16" s="95">
        <f>U16-X16</f>
        <v/>
      </c>
      <c r="AA16" s="95">
        <f>AA15+Z16</f>
        <v/>
      </c>
      <c r="AB16" s="95">
        <f>Z16*F16</f>
        <v/>
      </c>
      <c r="AC16" s="95">
        <f>Gia_dinh_Dau_vao!$C$24*C16*D16</f>
        <v/>
      </c>
      <c r="AD16" s="95">
        <f>AC16*Gia_dinh_Dau_vao!$C$17</f>
        <v/>
      </c>
      <c r="AE16" s="95">
        <f>Gia_dinh_Dau_vao!$F$40*E16</f>
        <v/>
      </c>
      <c r="AF16" s="95">
        <f>AC16-AD16-AE16</f>
        <v/>
      </c>
      <c r="AG16" s="95">
        <f>IF(A16&lt;=60, CAPEX_Dau_tu!$G$32/60, 0)</f>
        <v/>
      </c>
      <c r="AH16" s="95">
        <f>AF16-AG16</f>
        <v/>
      </c>
      <c r="AI16" s="95">
        <f>IF(AH16&gt;0, AH16*Gia_dinh_Dau_vao!$C$11, 0)</f>
        <v/>
      </c>
      <c r="AJ16" s="95">
        <f>AH16-AI16</f>
        <v/>
      </c>
      <c r="AK16" s="95">
        <f>AF16-AI16</f>
        <v/>
      </c>
      <c r="AL16" s="95">
        <f>AL15+AK16</f>
        <v/>
      </c>
      <c r="AM16" s="95">
        <f>AK16*F16</f>
        <v/>
      </c>
    </row>
    <row r="17" ht="20.1" customHeight="1" s="69">
      <c r="A17" s="19" t="n">
        <v>12</v>
      </c>
      <c r="B17" s="19">
        <f>INT((A17-1)/12)+1</f>
        <v/>
      </c>
      <c r="C17" s="111">
        <f>Gia_dinh_Dau_vao!$G$44</f>
        <v/>
      </c>
      <c r="D17" s="112">
        <f>(1+Gia_dinh_Dau_vao!$C$10)^(B17-1)</f>
        <v/>
      </c>
      <c r="E17" s="112">
        <f>(1+Gia_dinh_Dau_vao!$C$9)^(B17-1)</f>
        <v/>
      </c>
      <c r="F17" s="112">
        <f>1/(1+Gia_dinh_Dau_vao!$C$12)^(A17/12)</f>
        <v/>
      </c>
      <c r="G17" s="95">
        <f>Gia_dinh_Dau_vao!$C$22*C17*D17</f>
        <v/>
      </c>
      <c r="H17" s="95">
        <f>G17*Gia_dinh_Dau_vao!$C$17</f>
        <v/>
      </c>
      <c r="I17" s="95">
        <f>Gia_dinh_Dau_vao!$F$40*E17</f>
        <v/>
      </c>
      <c r="J17" s="95">
        <f>G17-H17-I17</f>
        <v/>
      </c>
      <c r="K17" s="95">
        <f>IF(A17&lt;=60, CAPEX_Dau_tu!$G$32/60, 0)</f>
        <v/>
      </c>
      <c r="L17" s="95">
        <f>J17-K17</f>
        <v/>
      </c>
      <c r="M17" s="95">
        <f>IF(L17&gt;0, L17*Gia_dinh_Dau_vao!$C$11, 0)</f>
        <v/>
      </c>
      <c r="N17" s="95">
        <f>L17-M17</f>
        <v/>
      </c>
      <c r="O17" s="95">
        <f>J17-M17</f>
        <v/>
      </c>
      <c r="P17" s="95">
        <f>P16+O17</f>
        <v/>
      </c>
      <c r="Q17" s="95">
        <f>O17*F17</f>
        <v/>
      </c>
      <c r="R17" s="95">
        <f>Gia_dinh_Dau_vao!$C$23*C17*D17</f>
        <v/>
      </c>
      <c r="S17" s="95">
        <f>R17*Gia_dinh_Dau_vao!$C$17</f>
        <v/>
      </c>
      <c r="T17" s="95">
        <f>Gia_dinh_Dau_vao!$F$40*E17</f>
        <v/>
      </c>
      <c r="U17" s="95">
        <f>R17-S17-T17</f>
        <v/>
      </c>
      <c r="V17" s="95">
        <f>IF(A17&lt;=60, CAPEX_Dau_tu!$G$32/60, 0)</f>
        <v/>
      </c>
      <c r="W17" s="95">
        <f>U17-V17</f>
        <v/>
      </c>
      <c r="X17" s="95">
        <f>IF(W17&gt;0, W17*Gia_dinh_Dau_vao!$C$11, 0)</f>
        <v/>
      </c>
      <c r="Y17" s="95">
        <f>W17-X17</f>
        <v/>
      </c>
      <c r="Z17" s="95">
        <f>U17-X17</f>
        <v/>
      </c>
      <c r="AA17" s="95">
        <f>AA16+Z17</f>
        <v/>
      </c>
      <c r="AB17" s="95">
        <f>Z17*F17</f>
        <v/>
      </c>
      <c r="AC17" s="95">
        <f>Gia_dinh_Dau_vao!$C$24*C17*D17</f>
        <v/>
      </c>
      <c r="AD17" s="95">
        <f>AC17*Gia_dinh_Dau_vao!$C$17</f>
        <v/>
      </c>
      <c r="AE17" s="95">
        <f>Gia_dinh_Dau_vao!$F$40*E17</f>
        <v/>
      </c>
      <c r="AF17" s="95">
        <f>AC17-AD17-AE17</f>
        <v/>
      </c>
      <c r="AG17" s="95">
        <f>IF(A17&lt;=60, CAPEX_Dau_tu!$G$32/60, 0)</f>
        <v/>
      </c>
      <c r="AH17" s="95">
        <f>AF17-AG17</f>
        <v/>
      </c>
      <c r="AI17" s="95">
        <f>IF(AH17&gt;0, AH17*Gia_dinh_Dau_vao!$C$11, 0)</f>
        <v/>
      </c>
      <c r="AJ17" s="95">
        <f>AH17-AI17</f>
        <v/>
      </c>
      <c r="AK17" s="95">
        <f>AF17-AI17</f>
        <v/>
      </c>
      <c r="AL17" s="95">
        <f>AL16+AK17</f>
        <v/>
      </c>
      <c r="AM17" s="95">
        <f>AK17*F17</f>
        <v/>
      </c>
    </row>
    <row r="18" ht="20.1" customHeight="1" s="69">
      <c r="A18" s="19" t="n">
        <v>13</v>
      </c>
      <c r="B18" s="19">
        <f>INT((A18-1)/12)+1</f>
        <v/>
      </c>
      <c r="C18" s="111">
        <f>Gia_dinh_Dau_vao!$G$44</f>
        <v/>
      </c>
      <c r="D18" s="112">
        <f>(1+Gia_dinh_Dau_vao!$C$10)^(B18-1)</f>
        <v/>
      </c>
      <c r="E18" s="112">
        <f>(1+Gia_dinh_Dau_vao!$C$9)^(B18-1)</f>
        <v/>
      </c>
      <c r="F18" s="112">
        <f>1/(1+Gia_dinh_Dau_vao!$C$12)^(A18/12)</f>
        <v/>
      </c>
      <c r="G18" s="95">
        <f>Gia_dinh_Dau_vao!$C$22*C18*D18</f>
        <v/>
      </c>
      <c r="H18" s="95">
        <f>G18*Gia_dinh_Dau_vao!$C$17</f>
        <v/>
      </c>
      <c r="I18" s="95">
        <f>Gia_dinh_Dau_vao!$F$40*E18</f>
        <v/>
      </c>
      <c r="J18" s="95">
        <f>G18-H18-I18</f>
        <v/>
      </c>
      <c r="K18" s="95">
        <f>IF(A18&lt;=60, CAPEX_Dau_tu!$G$32/60, 0)</f>
        <v/>
      </c>
      <c r="L18" s="95">
        <f>J18-K18</f>
        <v/>
      </c>
      <c r="M18" s="95">
        <f>IF(L18&gt;0, L18*Gia_dinh_Dau_vao!$C$11, 0)</f>
        <v/>
      </c>
      <c r="N18" s="95">
        <f>L18-M18</f>
        <v/>
      </c>
      <c r="O18" s="95">
        <f>J18-M18</f>
        <v/>
      </c>
      <c r="P18" s="95">
        <f>P17+O18</f>
        <v/>
      </c>
      <c r="Q18" s="95">
        <f>O18*F18</f>
        <v/>
      </c>
      <c r="R18" s="95">
        <f>Gia_dinh_Dau_vao!$C$23*C18*D18</f>
        <v/>
      </c>
      <c r="S18" s="95">
        <f>R18*Gia_dinh_Dau_vao!$C$17</f>
        <v/>
      </c>
      <c r="T18" s="95">
        <f>Gia_dinh_Dau_vao!$F$40*E18</f>
        <v/>
      </c>
      <c r="U18" s="95">
        <f>R18-S18-T18</f>
        <v/>
      </c>
      <c r="V18" s="95">
        <f>IF(A18&lt;=60, CAPEX_Dau_tu!$G$32/60, 0)</f>
        <v/>
      </c>
      <c r="W18" s="95">
        <f>U18-V18</f>
        <v/>
      </c>
      <c r="X18" s="95">
        <f>IF(W18&gt;0, W18*Gia_dinh_Dau_vao!$C$11, 0)</f>
        <v/>
      </c>
      <c r="Y18" s="95">
        <f>W18-X18</f>
        <v/>
      </c>
      <c r="Z18" s="95">
        <f>U18-X18</f>
        <v/>
      </c>
      <c r="AA18" s="95">
        <f>AA17+Z18</f>
        <v/>
      </c>
      <c r="AB18" s="95">
        <f>Z18*F18</f>
        <v/>
      </c>
      <c r="AC18" s="95">
        <f>Gia_dinh_Dau_vao!$C$24*C18*D18</f>
        <v/>
      </c>
      <c r="AD18" s="95">
        <f>AC18*Gia_dinh_Dau_vao!$C$17</f>
        <v/>
      </c>
      <c r="AE18" s="95">
        <f>Gia_dinh_Dau_vao!$F$40*E18</f>
        <v/>
      </c>
      <c r="AF18" s="95">
        <f>AC18-AD18-AE18</f>
        <v/>
      </c>
      <c r="AG18" s="95">
        <f>IF(A18&lt;=60, CAPEX_Dau_tu!$G$32/60, 0)</f>
        <v/>
      </c>
      <c r="AH18" s="95">
        <f>AF18-AG18</f>
        <v/>
      </c>
      <c r="AI18" s="95">
        <f>IF(AH18&gt;0, AH18*Gia_dinh_Dau_vao!$C$11, 0)</f>
        <v/>
      </c>
      <c r="AJ18" s="95">
        <f>AH18-AI18</f>
        <v/>
      </c>
      <c r="AK18" s="95">
        <f>AF18-AI18</f>
        <v/>
      </c>
      <c r="AL18" s="95">
        <f>AL17+AK18</f>
        <v/>
      </c>
      <c r="AM18" s="95">
        <f>AK18*F18</f>
        <v/>
      </c>
    </row>
    <row r="19" ht="20.1" customHeight="1" s="69">
      <c r="A19" s="19" t="n">
        <v>14</v>
      </c>
      <c r="B19" s="19">
        <f>INT((A19-1)/12)+1</f>
        <v/>
      </c>
      <c r="C19" s="111">
        <f>Gia_dinh_Dau_vao!$G$44</f>
        <v/>
      </c>
      <c r="D19" s="112">
        <f>(1+Gia_dinh_Dau_vao!$C$10)^(B19-1)</f>
        <v/>
      </c>
      <c r="E19" s="112">
        <f>(1+Gia_dinh_Dau_vao!$C$9)^(B19-1)</f>
        <v/>
      </c>
      <c r="F19" s="112">
        <f>1/(1+Gia_dinh_Dau_vao!$C$12)^(A19/12)</f>
        <v/>
      </c>
      <c r="G19" s="95">
        <f>Gia_dinh_Dau_vao!$C$22*C19*D19</f>
        <v/>
      </c>
      <c r="H19" s="95">
        <f>G19*Gia_dinh_Dau_vao!$C$17</f>
        <v/>
      </c>
      <c r="I19" s="95">
        <f>Gia_dinh_Dau_vao!$F$40*E19</f>
        <v/>
      </c>
      <c r="J19" s="95">
        <f>G19-H19-I19</f>
        <v/>
      </c>
      <c r="K19" s="95">
        <f>IF(A19&lt;=60, CAPEX_Dau_tu!$G$32/60, 0)</f>
        <v/>
      </c>
      <c r="L19" s="95">
        <f>J19-K19</f>
        <v/>
      </c>
      <c r="M19" s="95">
        <f>IF(L19&gt;0, L19*Gia_dinh_Dau_vao!$C$11, 0)</f>
        <v/>
      </c>
      <c r="N19" s="95">
        <f>L19-M19</f>
        <v/>
      </c>
      <c r="O19" s="95">
        <f>J19-M19</f>
        <v/>
      </c>
      <c r="P19" s="95">
        <f>P18+O19</f>
        <v/>
      </c>
      <c r="Q19" s="95">
        <f>O19*F19</f>
        <v/>
      </c>
      <c r="R19" s="95">
        <f>Gia_dinh_Dau_vao!$C$23*C19*D19</f>
        <v/>
      </c>
      <c r="S19" s="95">
        <f>R19*Gia_dinh_Dau_vao!$C$17</f>
        <v/>
      </c>
      <c r="T19" s="95">
        <f>Gia_dinh_Dau_vao!$F$40*E19</f>
        <v/>
      </c>
      <c r="U19" s="95">
        <f>R19-S19-T19</f>
        <v/>
      </c>
      <c r="V19" s="95">
        <f>IF(A19&lt;=60, CAPEX_Dau_tu!$G$32/60, 0)</f>
        <v/>
      </c>
      <c r="W19" s="95">
        <f>U19-V19</f>
        <v/>
      </c>
      <c r="X19" s="95">
        <f>IF(W19&gt;0, W19*Gia_dinh_Dau_vao!$C$11, 0)</f>
        <v/>
      </c>
      <c r="Y19" s="95">
        <f>W19-X19</f>
        <v/>
      </c>
      <c r="Z19" s="95">
        <f>U19-X19</f>
        <v/>
      </c>
      <c r="AA19" s="95">
        <f>AA18+Z19</f>
        <v/>
      </c>
      <c r="AB19" s="95">
        <f>Z19*F19</f>
        <v/>
      </c>
      <c r="AC19" s="95">
        <f>Gia_dinh_Dau_vao!$C$24*C19*D19</f>
        <v/>
      </c>
      <c r="AD19" s="95">
        <f>AC19*Gia_dinh_Dau_vao!$C$17</f>
        <v/>
      </c>
      <c r="AE19" s="95">
        <f>Gia_dinh_Dau_vao!$F$40*E19</f>
        <v/>
      </c>
      <c r="AF19" s="95">
        <f>AC19-AD19-AE19</f>
        <v/>
      </c>
      <c r="AG19" s="95">
        <f>IF(A19&lt;=60, CAPEX_Dau_tu!$G$32/60, 0)</f>
        <v/>
      </c>
      <c r="AH19" s="95">
        <f>AF19-AG19</f>
        <v/>
      </c>
      <c r="AI19" s="95">
        <f>IF(AH19&gt;0, AH19*Gia_dinh_Dau_vao!$C$11, 0)</f>
        <v/>
      </c>
      <c r="AJ19" s="95">
        <f>AH19-AI19</f>
        <v/>
      </c>
      <c r="AK19" s="95">
        <f>AF19-AI19</f>
        <v/>
      </c>
      <c r="AL19" s="95">
        <f>AL18+AK19</f>
        <v/>
      </c>
      <c r="AM19" s="95">
        <f>AK19*F19</f>
        <v/>
      </c>
    </row>
    <row r="20" ht="20.1" customHeight="1" s="69">
      <c r="A20" s="19" t="n">
        <v>15</v>
      </c>
      <c r="B20" s="19">
        <f>INT((A20-1)/12)+1</f>
        <v/>
      </c>
      <c r="C20" s="111">
        <f>Gia_dinh_Dau_vao!$G$44</f>
        <v/>
      </c>
      <c r="D20" s="112">
        <f>(1+Gia_dinh_Dau_vao!$C$10)^(B20-1)</f>
        <v/>
      </c>
      <c r="E20" s="112">
        <f>(1+Gia_dinh_Dau_vao!$C$9)^(B20-1)</f>
        <v/>
      </c>
      <c r="F20" s="112">
        <f>1/(1+Gia_dinh_Dau_vao!$C$12)^(A20/12)</f>
        <v/>
      </c>
      <c r="G20" s="95">
        <f>Gia_dinh_Dau_vao!$C$22*C20*D20</f>
        <v/>
      </c>
      <c r="H20" s="95">
        <f>G20*Gia_dinh_Dau_vao!$C$17</f>
        <v/>
      </c>
      <c r="I20" s="95">
        <f>Gia_dinh_Dau_vao!$F$40*E20</f>
        <v/>
      </c>
      <c r="J20" s="95">
        <f>G20-H20-I20</f>
        <v/>
      </c>
      <c r="K20" s="95">
        <f>IF(A20&lt;=60, CAPEX_Dau_tu!$G$32/60, 0)</f>
        <v/>
      </c>
      <c r="L20" s="95">
        <f>J20-K20</f>
        <v/>
      </c>
      <c r="M20" s="95">
        <f>IF(L20&gt;0, L20*Gia_dinh_Dau_vao!$C$11, 0)</f>
        <v/>
      </c>
      <c r="N20" s="95">
        <f>L20-M20</f>
        <v/>
      </c>
      <c r="O20" s="95">
        <f>J20-M20</f>
        <v/>
      </c>
      <c r="P20" s="95">
        <f>P19+O20</f>
        <v/>
      </c>
      <c r="Q20" s="95">
        <f>O20*F20</f>
        <v/>
      </c>
      <c r="R20" s="95">
        <f>Gia_dinh_Dau_vao!$C$23*C20*D20</f>
        <v/>
      </c>
      <c r="S20" s="95">
        <f>R20*Gia_dinh_Dau_vao!$C$17</f>
        <v/>
      </c>
      <c r="T20" s="95">
        <f>Gia_dinh_Dau_vao!$F$40*E20</f>
        <v/>
      </c>
      <c r="U20" s="95">
        <f>R20-S20-T20</f>
        <v/>
      </c>
      <c r="V20" s="95">
        <f>IF(A20&lt;=60, CAPEX_Dau_tu!$G$32/60, 0)</f>
        <v/>
      </c>
      <c r="W20" s="95">
        <f>U20-V20</f>
        <v/>
      </c>
      <c r="X20" s="95">
        <f>IF(W20&gt;0, W20*Gia_dinh_Dau_vao!$C$11, 0)</f>
        <v/>
      </c>
      <c r="Y20" s="95">
        <f>W20-X20</f>
        <v/>
      </c>
      <c r="Z20" s="95">
        <f>U20-X20</f>
        <v/>
      </c>
      <c r="AA20" s="95">
        <f>AA19+Z20</f>
        <v/>
      </c>
      <c r="AB20" s="95">
        <f>Z20*F20</f>
        <v/>
      </c>
      <c r="AC20" s="95">
        <f>Gia_dinh_Dau_vao!$C$24*C20*D20</f>
        <v/>
      </c>
      <c r="AD20" s="95">
        <f>AC20*Gia_dinh_Dau_vao!$C$17</f>
        <v/>
      </c>
      <c r="AE20" s="95">
        <f>Gia_dinh_Dau_vao!$F$40*E20</f>
        <v/>
      </c>
      <c r="AF20" s="95">
        <f>AC20-AD20-AE20</f>
        <v/>
      </c>
      <c r="AG20" s="95">
        <f>IF(A20&lt;=60, CAPEX_Dau_tu!$G$32/60, 0)</f>
        <v/>
      </c>
      <c r="AH20" s="95">
        <f>AF20-AG20</f>
        <v/>
      </c>
      <c r="AI20" s="95">
        <f>IF(AH20&gt;0, AH20*Gia_dinh_Dau_vao!$C$11, 0)</f>
        <v/>
      </c>
      <c r="AJ20" s="95">
        <f>AH20-AI20</f>
        <v/>
      </c>
      <c r="AK20" s="95">
        <f>AF20-AI20</f>
        <v/>
      </c>
      <c r="AL20" s="95">
        <f>AL19+AK20</f>
        <v/>
      </c>
      <c r="AM20" s="95">
        <f>AK20*F20</f>
        <v/>
      </c>
    </row>
    <row r="21" ht="20.1" customHeight="1" s="69">
      <c r="A21" s="19" t="n">
        <v>16</v>
      </c>
      <c r="B21" s="19">
        <f>INT((A21-1)/12)+1</f>
        <v/>
      </c>
      <c r="C21" s="111">
        <f>Gia_dinh_Dau_vao!$G$44</f>
        <v/>
      </c>
      <c r="D21" s="112">
        <f>(1+Gia_dinh_Dau_vao!$C$10)^(B21-1)</f>
        <v/>
      </c>
      <c r="E21" s="112">
        <f>(1+Gia_dinh_Dau_vao!$C$9)^(B21-1)</f>
        <v/>
      </c>
      <c r="F21" s="112">
        <f>1/(1+Gia_dinh_Dau_vao!$C$12)^(A21/12)</f>
        <v/>
      </c>
      <c r="G21" s="95">
        <f>Gia_dinh_Dau_vao!$C$22*C21*D21</f>
        <v/>
      </c>
      <c r="H21" s="95">
        <f>G21*Gia_dinh_Dau_vao!$C$17</f>
        <v/>
      </c>
      <c r="I21" s="95">
        <f>Gia_dinh_Dau_vao!$F$40*E21</f>
        <v/>
      </c>
      <c r="J21" s="95">
        <f>G21-H21-I21</f>
        <v/>
      </c>
      <c r="K21" s="95">
        <f>IF(A21&lt;=60, CAPEX_Dau_tu!$G$32/60, 0)</f>
        <v/>
      </c>
      <c r="L21" s="95">
        <f>J21-K21</f>
        <v/>
      </c>
      <c r="M21" s="95">
        <f>IF(L21&gt;0, L21*Gia_dinh_Dau_vao!$C$11, 0)</f>
        <v/>
      </c>
      <c r="N21" s="95">
        <f>L21-M21</f>
        <v/>
      </c>
      <c r="O21" s="95">
        <f>J21-M21</f>
        <v/>
      </c>
      <c r="P21" s="95">
        <f>P20+O21</f>
        <v/>
      </c>
      <c r="Q21" s="95">
        <f>O21*F21</f>
        <v/>
      </c>
      <c r="R21" s="95">
        <f>Gia_dinh_Dau_vao!$C$23*C21*D21</f>
        <v/>
      </c>
      <c r="S21" s="95">
        <f>R21*Gia_dinh_Dau_vao!$C$17</f>
        <v/>
      </c>
      <c r="T21" s="95">
        <f>Gia_dinh_Dau_vao!$F$40*E21</f>
        <v/>
      </c>
      <c r="U21" s="95">
        <f>R21-S21-T21</f>
        <v/>
      </c>
      <c r="V21" s="95">
        <f>IF(A21&lt;=60, CAPEX_Dau_tu!$G$32/60, 0)</f>
        <v/>
      </c>
      <c r="W21" s="95">
        <f>U21-V21</f>
        <v/>
      </c>
      <c r="X21" s="95">
        <f>IF(W21&gt;0, W21*Gia_dinh_Dau_vao!$C$11, 0)</f>
        <v/>
      </c>
      <c r="Y21" s="95">
        <f>W21-X21</f>
        <v/>
      </c>
      <c r="Z21" s="95">
        <f>U21-X21</f>
        <v/>
      </c>
      <c r="AA21" s="95">
        <f>AA20+Z21</f>
        <v/>
      </c>
      <c r="AB21" s="95">
        <f>Z21*F21</f>
        <v/>
      </c>
      <c r="AC21" s="95">
        <f>Gia_dinh_Dau_vao!$C$24*C21*D21</f>
        <v/>
      </c>
      <c r="AD21" s="95">
        <f>AC21*Gia_dinh_Dau_vao!$C$17</f>
        <v/>
      </c>
      <c r="AE21" s="95">
        <f>Gia_dinh_Dau_vao!$F$40*E21</f>
        <v/>
      </c>
      <c r="AF21" s="95">
        <f>AC21-AD21-AE21</f>
        <v/>
      </c>
      <c r="AG21" s="95">
        <f>IF(A21&lt;=60, CAPEX_Dau_tu!$G$32/60, 0)</f>
        <v/>
      </c>
      <c r="AH21" s="95">
        <f>AF21-AG21</f>
        <v/>
      </c>
      <c r="AI21" s="95">
        <f>IF(AH21&gt;0, AH21*Gia_dinh_Dau_vao!$C$11, 0)</f>
        <v/>
      </c>
      <c r="AJ21" s="95">
        <f>AH21-AI21</f>
        <v/>
      </c>
      <c r="AK21" s="95">
        <f>AF21-AI21</f>
        <v/>
      </c>
      <c r="AL21" s="95">
        <f>AL20+AK21</f>
        <v/>
      </c>
      <c r="AM21" s="95">
        <f>AK21*F21</f>
        <v/>
      </c>
    </row>
    <row r="22" ht="20.1" customHeight="1" s="69">
      <c r="A22" s="19" t="n">
        <v>17</v>
      </c>
      <c r="B22" s="19">
        <f>INT((A22-1)/12)+1</f>
        <v/>
      </c>
      <c r="C22" s="111">
        <f>Gia_dinh_Dau_vao!$G$44</f>
        <v/>
      </c>
      <c r="D22" s="112">
        <f>(1+Gia_dinh_Dau_vao!$C$10)^(B22-1)</f>
        <v/>
      </c>
      <c r="E22" s="112">
        <f>(1+Gia_dinh_Dau_vao!$C$9)^(B22-1)</f>
        <v/>
      </c>
      <c r="F22" s="112">
        <f>1/(1+Gia_dinh_Dau_vao!$C$12)^(A22/12)</f>
        <v/>
      </c>
      <c r="G22" s="95">
        <f>Gia_dinh_Dau_vao!$C$22*C22*D22</f>
        <v/>
      </c>
      <c r="H22" s="95">
        <f>G22*Gia_dinh_Dau_vao!$C$17</f>
        <v/>
      </c>
      <c r="I22" s="95">
        <f>Gia_dinh_Dau_vao!$F$40*E22</f>
        <v/>
      </c>
      <c r="J22" s="95">
        <f>G22-H22-I22</f>
        <v/>
      </c>
      <c r="K22" s="95">
        <f>IF(A22&lt;=60, CAPEX_Dau_tu!$G$32/60, 0)</f>
        <v/>
      </c>
      <c r="L22" s="95">
        <f>J22-K22</f>
        <v/>
      </c>
      <c r="M22" s="95">
        <f>IF(L22&gt;0, L22*Gia_dinh_Dau_vao!$C$11, 0)</f>
        <v/>
      </c>
      <c r="N22" s="95">
        <f>L22-M22</f>
        <v/>
      </c>
      <c r="O22" s="95">
        <f>J22-M22</f>
        <v/>
      </c>
      <c r="P22" s="95">
        <f>P21+O22</f>
        <v/>
      </c>
      <c r="Q22" s="95">
        <f>O22*F22</f>
        <v/>
      </c>
      <c r="R22" s="95">
        <f>Gia_dinh_Dau_vao!$C$23*C22*D22</f>
        <v/>
      </c>
      <c r="S22" s="95">
        <f>R22*Gia_dinh_Dau_vao!$C$17</f>
        <v/>
      </c>
      <c r="T22" s="95">
        <f>Gia_dinh_Dau_vao!$F$40*E22</f>
        <v/>
      </c>
      <c r="U22" s="95">
        <f>R22-S22-T22</f>
        <v/>
      </c>
      <c r="V22" s="95">
        <f>IF(A22&lt;=60, CAPEX_Dau_tu!$G$32/60, 0)</f>
        <v/>
      </c>
      <c r="W22" s="95">
        <f>U22-V22</f>
        <v/>
      </c>
      <c r="X22" s="95">
        <f>IF(W22&gt;0, W22*Gia_dinh_Dau_vao!$C$11, 0)</f>
        <v/>
      </c>
      <c r="Y22" s="95">
        <f>W22-X22</f>
        <v/>
      </c>
      <c r="Z22" s="95">
        <f>U22-X22</f>
        <v/>
      </c>
      <c r="AA22" s="95">
        <f>AA21+Z22</f>
        <v/>
      </c>
      <c r="AB22" s="95">
        <f>Z22*F22</f>
        <v/>
      </c>
      <c r="AC22" s="95">
        <f>Gia_dinh_Dau_vao!$C$24*C22*D22</f>
        <v/>
      </c>
      <c r="AD22" s="95">
        <f>AC22*Gia_dinh_Dau_vao!$C$17</f>
        <v/>
      </c>
      <c r="AE22" s="95">
        <f>Gia_dinh_Dau_vao!$F$40*E22</f>
        <v/>
      </c>
      <c r="AF22" s="95">
        <f>AC22-AD22-AE22</f>
        <v/>
      </c>
      <c r="AG22" s="95">
        <f>IF(A22&lt;=60, CAPEX_Dau_tu!$G$32/60, 0)</f>
        <v/>
      </c>
      <c r="AH22" s="95">
        <f>AF22-AG22</f>
        <v/>
      </c>
      <c r="AI22" s="95">
        <f>IF(AH22&gt;0, AH22*Gia_dinh_Dau_vao!$C$11, 0)</f>
        <v/>
      </c>
      <c r="AJ22" s="95">
        <f>AH22-AI22</f>
        <v/>
      </c>
      <c r="AK22" s="95">
        <f>AF22-AI22</f>
        <v/>
      </c>
      <c r="AL22" s="95">
        <f>AL21+AK22</f>
        <v/>
      </c>
      <c r="AM22" s="95">
        <f>AK22*F22</f>
        <v/>
      </c>
    </row>
    <row r="23" ht="20.1" customHeight="1" s="69">
      <c r="A23" s="19" t="n">
        <v>18</v>
      </c>
      <c r="B23" s="19">
        <f>INT((A23-1)/12)+1</f>
        <v/>
      </c>
      <c r="C23" s="111">
        <f>Gia_dinh_Dau_vao!$G$44</f>
        <v/>
      </c>
      <c r="D23" s="112">
        <f>(1+Gia_dinh_Dau_vao!$C$10)^(B23-1)</f>
        <v/>
      </c>
      <c r="E23" s="112">
        <f>(1+Gia_dinh_Dau_vao!$C$9)^(B23-1)</f>
        <v/>
      </c>
      <c r="F23" s="112">
        <f>1/(1+Gia_dinh_Dau_vao!$C$12)^(A23/12)</f>
        <v/>
      </c>
      <c r="G23" s="95">
        <f>Gia_dinh_Dau_vao!$C$22*C23*D23</f>
        <v/>
      </c>
      <c r="H23" s="95">
        <f>G23*Gia_dinh_Dau_vao!$C$17</f>
        <v/>
      </c>
      <c r="I23" s="95">
        <f>Gia_dinh_Dau_vao!$F$40*E23</f>
        <v/>
      </c>
      <c r="J23" s="95">
        <f>G23-H23-I23</f>
        <v/>
      </c>
      <c r="K23" s="95">
        <f>IF(A23&lt;=60, CAPEX_Dau_tu!$G$32/60, 0)</f>
        <v/>
      </c>
      <c r="L23" s="95">
        <f>J23-K23</f>
        <v/>
      </c>
      <c r="M23" s="95">
        <f>IF(L23&gt;0, L23*Gia_dinh_Dau_vao!$C$11, 0)</f>
        <v/>
      </c>
      <c r="N23" s="95">
        <f>L23-M23</f>
        <v/>
      </c>
      <c r="O23" s="95">
        <f>J23-M23</f>
        <v/>
      </c>
      <c r="P23" s="95">
        <f>P22+O23</f>
        <v/>
      </c>
      <c r="Q23" s="95">
        <f>O23*F23</f>
        <v/>
      </c>
      <c r="R23" s="95">
        <f>Gia_dinh_Dau_vao!$C$23*C23*D23</f>
        <v/>
      </c>
      <c r="S23" s="95">
        <f>R23*Gia_dinh_Dau_vao!$C$17</f>
        <v/>
      </c>
      <c r="T23" s="95">
        <f>Gia_dinh_Dau_vao!$F$40*E23</f>
        <v/>
      </c>
      <c r="U23" s="95">
        <f>R23-S23-T23</f>
        <v/>
      </c>
      <c r="V23" s="95">
        <f>IF(A23&lt;=60, CAPEX_Dau_tu!$G$32/60, 0)</f>
        <v/>
      </c>
      <c r="W23" s="95">
        <f>U23-V23</f>
        <v/>
      </c>
      <c r="X23" s="95">
        <f>IF(W23&gt;0, W23*Gia_dinh_Dau_vao!$C$11, 0)</f>
        <v/>
      </c>
      <c r="Y23" s="95">
        <f>W23-X23</f>
        <v/>
      </c>
      <c r="Z23" s="95">
        <f>U23-X23</f>
        <v/>
      </c>
      <c r="AA23" s="95">
        <f>AA22+Z23</f>
        <v/>
      </c>
      <c r="AB23" s="95">
        <f>Z23*F23</f>
        <v/>
      </c>
      <c r="AC23" s="95">
        <f>Gia_dinh_Dau_vao!$C$24*C23*D23</f>
        <v/>
      </c>
      <c r="AD23" s="95">
        <f>AC23*Gia_dinh_Dau_vao!$C$17</f>
        <v/>
      </c>
      <c r="AE23" s="95">
        <f>Gia_dinh_Dau_vao!$F$40*E23</f>
        <v/>
      </c>
      <c r="AF23" s="95">
        <f>AC23-AD23-AE23</f>
        <v/>
      </c>
      <c r="AG23" s="95">
        <f>IF(A23&lt;=60, CAPEX_Dau_tu!$G$32/60, 0)</f>
        <v/>
      </c>
      <c r="AH23" s="95">
        <f>AF23-AG23</f>
        <v/>
      </c>
      <c r="AI23" s="95">
        <f>IF(AH23&gt;0, AH23*Gia_dinh_Dau_vao!$C$11, 0)</f>
        <v/>
      </c>
      <c r="AJ23" s="95">
        <f>AH23-AI23</f>
        <v/>
      </c>
      <c r="AK23" s="95">
        <f>AF23-AI23</f>
        <v/>
      </c>
      <c r="AL23" s="95">
        <f>AL22+AK23</f>
        <v/>
      </c>
      <c r="AM23" s="95">
        <f>AK23*F23</f>
        <v/>
      </c>
    </row>
    <row r="24" ht="20.1" customHeight="1" s="69">
      <c r="A24" s="19" t="n">
        <v>19</v>
      </c>
      <c r="B24" s="19">
        <f>INT((A24-1)/12)+1</f>
        <v/>
      </c>
      <c r="C24" s="111">
        <f>Gia_dinh_Dau_vao!$G$44</f>
        <v/>
      </c>
      <c r="D24" s="112">
        <f>(1+Gia_dinh_Dau_vao!$C$10)^(B24-1)</f>
        <v/>
      </c>
      <c r="E24" s="112">
        <f>(1+Gia_dinh_Dau_vao!$C$9)^(B24-1)</f>
        <v/>
      </c>
      <c r="F24" s="112">
        <f>1/(1+Gia_dinh_Dau_vao!$C$12)^(A24/12)</f>
        <v/>
      </c>
      <c r="G24" s="95">
        <f>Gia_dinh_Dau_vao!$C$22*C24*D24</f>
        <v/>
      </c>
      <c r="H24" s="95">
        <f>G24*Gia_dinh_Dau_vao!$C$17</f>
        <v/>
      </c>
      <c r="I24" s="95">
        <f>Gia_dinh_Dau_vao!$F$40*E24</f>
        <v/>
      </c>
      <c r="J24" s="95">
        <f>G24-H24-I24</f>
        <v/>
      </c>
      <c r="K24" s="95">
        <f>IF(A24&lt;=60, CAPEX_Dau_tu!$G$32/60, 0)</f>
        <v/>
      </c>
      <c r="L24" s="95">
        <f>J24-K24</f>
        <v/>
      </c>
      <c r="M24" s="95">
        <f>IF(L24&gt;0, L24*Gia_dinh_Dau_vao!$C$11, 0)</f>
        <v/>
      </c>
      <c r="N24" s="95">
        <f>L24-M24</f>
        <v/>
      </c>
      <c r="O24" s="95">
        <f>J24-M24</f>
        <v/>
      </c>
      <c r="P24" s="95">
        <f>P23+O24</f>
        <v/>
      </c>
      <c r="Q24" s="95">
        <f>O24*F24</f>
        <v/>
      </c>
      <c r="R24" s="95">
        <f>Gia_dinh_Dau_vao!$C$23*C24*D24</f>
        <v/>
      </c>
      <c r="S24" s="95">
        <f>R24*Gia_dinh_Dau_vao!$C$17</f>
        <v/>
      </c>
      <c r="T24" s="95">
        <f>Gia_dinh_Dau_vao!$F$40*E24</f>
        <v/>
      </c>
      <c r="U24" s="95">
        <f>R24-S24-T24</f>
        <v/>
      </c>
      <c r="V24" s="95">
        <f>IF(A24&lt;=60, CAPEX_Dau_tu!$G$32/60, 0)</f>
        <v/>
      </c>
      <c r="W24" s="95">
        <f>U24-V24</f>
        <v/>
      </c>
      <c r="X24" s="95">
        <f>IF(W24&gt;0, W24*Gia_dinh_Dau_vao!$C$11, 0)</f>
        <v/>
      </c>
      <c r="Y24" s="95">
        <f>W24-X24</f>
        <v/>
      </c>
      <c r="Z24" s="95">
        <f>U24-X24</f>
        <v/>
      </c>
      <c r="AA24" s="95">
        <f>AA23+Z24</f>
        <v/>
      </c>
      <c r="AB24" s="95">
        <f>Z24*F24</f>
        <v/>
      </c>
      <c r="AC24" s="95">
        <f>Gia_dinh_Dau_vao!$C$24*C24*D24</f>
        <v/>
      </c>
      <c r="AD24" s="95">
        <f>AC24*Gia_dinh_Dau_vao!$C$17</f>
        <v/>
      </c>
      <c r="AE24" s="95">
        <f>Gia_dinh_Dau_vao!$F$40*E24</f>
        <v/>
      </c>
      <c r="AF24" s="95">
        <f>AC24-AD24-AE24</f>
        <v/>
      </c>
      <c r="AG24" s="95">
        <f>IF(A24&lt;=60, CAPEX_Dau_tu!$G$32/60, 0)</f>
        <v/>
      </c>
      <c r="AH24" s="95">
        <f>AF24-AG24</f>
        <v/>
      </c>
      <c r="AI24" s="95">
        <f>IF(AH24&gt;0, AH24*Gia_dinh_Dau_vao!$C$11, 0)</f>
        <v/>
      </c>
      <c r="AJ24" s="95">
        <f>AH24-AI24</f>
        <v/>
      </c>
      <c r="AK24" s="95">
        <f>AF24-AI24</f>
        <v/>
      </c>
      <c r="AL24" s="95">
        <f>AL23+AK24</f>
        <v/>
      </c>
      <c r="AM24" s="95">
        <f>AK24*F24</f>
        <v/>
      </c>
    </row>
    <row r="25" ht="20.1" customHeight="1" s="69">
      <c r="A25" s="19" t="n">
        <v>20</v>
      </c>
      <c r="B25" s="19">
        <f>INT((A25-1)/12)+1</f>
        <v/>
      </c>
      <c r="C25" s="111">
        <f>Gia_dinh_Dau_vao!$G$44</f>
        <v/>
      </c>
      <c r="D25" s="112">
        <f>(1+Gia_dinh_Dau_vao!$C$10)^(B25-1)</f>
        <v/>
      </c>
      <c r="E25" s="112">
        <f>(1+Gia_dinh_Dau_vao!$C$9)^(B25-1)</f>
        <v/>
      </c>
      <c r="F25" s="112">
        <f>1/(1+Gia_dinh_Dau_vao!$C$12)^(A25/12)</f>
        <v/>
      </c>
      <c r="G25" s="95">
        <f>Gia_dinh_Dau_vao!$C$22*C25*D25</f>
        <v/>
      </c>
      <c r="H25" s="95">
        <f>G25*Gia_dinh_Dau_vao!$C$17</f>
        <v/>
      </c>
      <c r="I25" s="95">
        <f>Gia_dinh_Dau_vao!$F$40*E25</f>
        <v/>
      </c>
      <c r="J25" s="95">
        <f>G25-H25-I25</f>
        <v/>
      </c>
      <c r="K25" s="95">
        <f>IF(A25&lt;=60, CAPEX_Dau_tu!$G$32/60, 0)</f>
        <v/>
      </c>
      <c r="L25" s="95">
        <f>J25-K25</f>
        <v/>
      </c>
      <c r="M25" s="95">
        <f>IF(L25&gt;0, L25*Gia_dinh_Dau_vao!$C$11, 0)</f>
        <v/>
      </c>
      <c r="N25" s="95">
        <f>L25-M25</f>
        <v/>
      </c>
      <c r="O25" s="95">
        <f>J25-M25</f>
        <v/>
      </c>
      <c r="P25" s="95">
        <f>P24+O25</f>
        <v/>
      </c>
      <c r="Q25" s="95">
        <f>O25*F25</f>
        <v/>
      </c>
      <c r="R25" s="95">
        <f>Gia_dinh_Dau_vao!$C$23*C25*D25</f>
        <v/>
      </c>
      <c r="S25" s="95">
        <f>R25*Gia_dinh_Dau_vao!$C$17</f>
        <v/>
      </c>
      <c r="T25" s="95">
        <f>Gia_dinh_Dau_vao!$F$40*E25</f>
        <v/>
      </c>
      <c r="U25" s="95">
        <f>R25-S25-T25</f>
        <v/>
      </c>
      <c r="V25" s="95">
        <f>IF(A25&lt;=60, CAPEX_Dau_tu!$G$32/60, 0)</f>
        <v/>
      </c>
      <c r="W25" s="95">
        <f>U25-V25</f>
        <v/>
      </c>
      <c r="X25" s="95">
        <f>IF(W25&gt;0, W25*Gia_dinh_Dau_vao!$C$11, 0)</f>
        <v/>
      </c>
      <c r="Y25" s="95">
        <f>W25-X25</f>
        <v/>
      </c>
      <c r="Z25" s="95">
        <f>U25-X25</f>
        <v/>
      </c>
      <c r="AA25" s="95">
        <f>AA24+Z25</f>
        <v/>
      </c>
      <c r="AB25" s="95">
        <f>Z25*F25</f>
        <v/>
      </c>
      <c r="AC25" s="95">
        <f>Gia_dinh_Dau_vao!$C$24*C25*D25</f>
        <v/>
      </c>
      <c r="AD25" s="95">
        <f>AC25*Gia_dinh_Dau_vao!$C$17</f>
        <v/>
      </c>
      <c r="AE25" s="95">
        <f>Gia_dinh_Dau_vao!$F$40*E25</f>
        <v/>
      </c>
      <c r="AF25" s="95">
        <f>AC25-AD25-AE25</f>
        <v/>
      </c>
      <c r="AG25" s="95">
        <f>IF(A25&lt;=60, CAPEX_Dau_tu!$G$32/60, 0)</f>
        <v/>
      </c>
      <c r="AH25" s="95">
        <f>AF25-AG25</f>
        <v/>
      </c>
      <c r="AI25" s="95">
        <f>IF(AH25&gt;0, AH25*Gia_dinh_Dau_vao!$C$11, 0)</f>
        <v/>
      </c>
      <c r="AJ25" s="95">
        <f>AH25-AI25</f>
        <v/>
      </c>
      <c r="AK25" s="95">
        <f>AF25-AI25</f>
        <v/>
      </c>
      <c r="AL25" s="95">
        <f>AL24+AK25</f>
        <v/>
      </c>
      <c r="AM25" s="95">
        <f>AK25*F25</f>
        <v/>
      </c>
    </row>
    <row r="26" ht="20.1" customHeight="1" s="69">
      <c r="A26" s="19" t="n">
        <v>21</v>
      </c>
      <c r="B26" s="19">
        <f>INT((A26-1)/12)+1</f>
        <v/>
      </c>
      <c r="C26" s="111">
        <f>Gia_dinh_Dau_vao!$G$44</f>
        <v/>
      </c>
      <c r="D26" s="112">
        <f>(1+Gia_dinh_Dau_vao!$C$10)^(B26-1)</f>
        <v/>
      </c>
      <c r="E26" s="112">
        <f>(1+Gia_dinh_Dau_vao!$C$9)^(B26-1)</f>
        <v/>
      </c>
      <c r="F26" s="112">
        <f>1/(1+Gia_dinh_Dau_vao!$C$12)^(A26/12)</f>
        <v/>
      </c>
      <c r="G26" s="95">
        <f>Gia_dinh_Dau_vao!$C$22*C26*D26</f>
        <v/>
      </c>
      <c r="H26" s="95">
        <f>G26*Gia_dinh_Dau_vao!$C$17</f>
        <v/>
      </c>
      <c r="I26" s="95">
        <f>Gia_dinh_Dau_vao!$F$40*E26</f>
        <v/>
      </c>
      <c r="J26" s="95">
        <f>G26-H26-I26</f>
        <v/>
      </c>
      <c r="K26" s="95">
        <f>IF(A26&lt;=60, CAPEX_Dau_tu!$G$32/60, 0)</f>
        <v/>
      </c>
      <c r="L26" s="95">
        <f>J26-K26</f>
        <v/>
      </c>
      <c r="M26" s="95">
        <f>IF(L26&gt;0, L26*Gia_dinh_Dau_vao!$C$11, 0)</f>
        <v/>
      </c>
      <c r="N26" s="95">
        <f>L26-M26</f>
        <v/>
      </c>
      <c r="O26" s="95">
        <f>J26-M26</f>
        <v/>
      </c>
      <c r="P26" s="95">
        <f>P25+O26</f>
        <v/>
      </c>
      <c r="Q26" s="95">
        <f>O26*F26</f>
        <v/>
      </c>
      <c r="R26" s="95">
        <f>Gia_dinh_Dau_vao!$C$23*C26*D26</f>
        <v/>
      </c>
      <c r="S26" s="95">
        <f>R26*Gia_dinh_Dau_vao!$C$17</f>
        <v/>
      </c>
      <c r="T26" s="95">
        <f>Gia_dinh_Dau_vao!$F$40*E26</f>
        <v/>
      </c>
      <c r="U26" s="95">
        <f>R26-S26-T26</f>
        <v/>
      </c>
      <c r="V26" s="95">
        <f>IF(A26&lt;=60, CAPEX_Dau_tu!$G$32/60, 0)</f>
        <v/>
      </c>
      <c r="W26" s="95">
        <f>U26-V26</f>
        <v/>
      </c>
      <c r="X26" s="95">
        <f>IF(W26&gt;0, W26*Gia_dinh_Dau_vao!$C$11, 0)</f>
        <v/>
      </c>
      <c r="Y26" s="95">
        <f>W26-X26</f>
        <v/>
      </c>
      <c r="Z26" s="95">
        <f>U26-X26</f>
        <v/>
      </c>
      <c r="AA26" s="95">
        <f>AA25+Z26</f>
        <v/>
      </c>
      <c r="AB26" s="95">
        <f>Z26*F26</f>
        <v/>
      </c>
      <c r="AC26" s="95">
        <f>Gia_dinh_Dau_vao!$C$24*C26*D26</f>
        <v/>
      </c>
      <c r="AD26" s="95">
        <f>AC26*Gia_dinh_Dau_vao!$C$17</f>
        <v/>
      </c>
      <c r="AE26" s="95">
        <f>Gia_dinh_Dau_vao!$F$40*E26</f>
        <v/>
      </c>
      <c r="AF26" s="95">
        <f>AC26-AD26-AE26</f>
        <v/>
      </c>
      <c r="AG26" s="95">
        <f>IF(A26&lt;=60, CAPEX_Dau_tu!$G$32/60, 0)</f>
        <v/>
      </c>
      <c r="AH26" s="95">
        <f>AF26-AG26</f>
        <v/>
      </c>
      <c r="AI26" s="95">
        <f>IF(AH26&gt;0, AH26*Gia_dinh_Dau_vao!$C$11, 0)</f>
        <v/>
      </c>
      <c r="AJ26" s="95">
        <f>AH26-AI26</f>
        <v/>
      </c>
      <c r="AK26" s="95">
        <f>AF26-AI26</f>
        <v/>
      </c>
      <c r="AL26" s="95">
        <f>AL25+AK26</f>
        <v/>
      </c>
      <c r="AM26" s="95">
        <f>AK26*F26</f>
        <v/>
      </c>
    </row>
    <row r="27" ht="20.1" customHeight="1" s="69">
      <c r="A27" s="19" t="n">
        <v>22</v>
      </c>
      <c r="B27" s="19">
        <f>INT((A27-1)/12)+1</f>
        <v/>
      </c>
      <c r="C27" s="111">
        <f>Gia_dinh_Dau_vao!$G$44</f>
        <v/>
      </c>
      <c r="D27" s="112">
        <f>(1+Gia_dinh_Dau_vao!$C$10)^(B27-1)</f>
        <v/>
      </c>
      <c r="E27" s="112">
        <f>(1+Gia_dinh_Dau_vao!$C$9)^(B27-1)</f>
        <v/>
      </c>
      <c r="F27" s="112">
        <f>1/(1+Gia_dinh_Dau_vao!$C$12)^(A27/12)</f>
        <v/>
      </c>
      <c r="G27" s="95">
        <f>Gia_dinh_Dau_vao!$C$22*C27*D27</f>
        <v/>
      </c>
      <c r="H27" s="95">
        <f>G27*Gia_dinh_Dau_vao!$C$17</f>
        <v/>
      </c>
      <c r="I27" s="95">
        <f>Gia_dinh_Dau_vao!$F$40*E27</f>
        <v/>
      </c>
      <c r="J27" s="95">
        <f>G27-H27-I27</f>
        <v/>
      </c>
      <c r="K27" s="95">
        <f>IF(A27&lt;=60, CAPEX_Dau_tu!$G$32/60, 0)</f>
        <v/>
      </c>
      <c r="L27" s="95">
        <f>J27-K27</f>
        <v/>
      </c>
      <c r="M27" s="95">
        <f>IF(L27&gt;0, L27*Gia_dinh_Dau_vao!$C$11, 0)</f>
        <v/>
      </c>
      <c r="N27" s="95">
        <f>L27-M27</f>
        <v/>
      </c>
      <c r="O27" s="95">
        <f>J27-M27</f>
        <v/>
      </c>
      <c r="P27" s="95">
        <f>P26+O27</f>
        <v/>
      </c>
      <c r="Q27" s="95">
        <f>O27*F27</f>
        <v/>
      </c>
      <c r="R27" s="95">
        <f>Gia_dinh_Dau_vao!$C$23*C27*D27</f>
        <v/>
      </c>
      <c r="S27" s="95">
        <f>R27*Gia_dinh_Dau_vao!$C$17</f>
        <v/>
      </c>
      <c r="T27" s="95">
        <f>Gia_dinh_Dau_vao!$F$40*E27</f>
        <v/>
      </c>
      <c r="U27" s="95">
        <f>R27-S27-T27</f>
        <v/>
      </c>
      <c r="V27" s="95">
        <f>IF(A27&lt;=60, CAPEX_Dau_tu!$G$32/60, 0)</f>
        <v/>
      </c>
      <c r="W27" s="95">
        <f>U27-V27</f>
        <v/>
      </c>
      <c r="X27" s="95">
        <f>IF(W27&gt;0, W27*Gia_dinh_Dau_vao!$C$11, 0)</f>
        <v/>
      </c>
      <c r="Y27" s="95">
        <f>W27-X27</f>
        <v/>
      </c>
      <c r="Z27" s="95">
        <f>U27-X27</f>
        <v/>
      </c>
      <c r="AA27" s="95">
        <f>AA26+Z27</f>
        <v/>
      </c>
      <c r="AB27" s="95">
        <f>Z27*F27</f>
        <v/>
      </c>
      <c r="AC27" s="95">
        <f>Gia_dinh_Dau_vao!$C$24*C27*D27</f>
        <v/>
      </c>
      <c r="AD27" s="95">
        <f>AC27*Gia_dinh_Dau_vao!$C$17</f>
        <v/>
      </c>
      <c r="AE27" s="95">
        <f>Gia_dinh_Dau_vao!$F$40*E27</f>
        <v/>
      </c>
      <c r="AF27" s="95">
        <f>AC27-AD27-AE27</f>
        <v/>
      </c>
      <c r="AG27" s="95">
        <f>IF(A27&lt;=60, CAPEX_Dau_tu!$G$32/60, 0)</f>
        <v/>
      </c>
      <c r="AH27" s="95">
        <f>AF27-AG27</f>
        <v/>
      </c>
      <c r="AI27" s="95">
        <f>IF(AH27&gt;0, AH27*Gia_dinh_Dau_vao!$C$11, 0)</f>
        <v/>
      </c>
      <c r="AJ27" s="95">
        <f>AH27-AI27</f>
        <v/>
      </c>
      <c r="AK27" s="95">
        <f>AF27-AI27</f>
        <v/>
      </c>
      <c r="AL27" s="95">
        <f>AL26+AK27</f>
        <v/>
      </c>
      <c r="AM27" s="95">
        <f>AK27*F27</f>
        <v/>
      </c>
    </row>
    <row r="28" ht="20.1" customHeight="1" s="69">
      <c r="A28" s="19" t="n">
        <v>23</v>
      </c>
      <c r="B28" s="19">
        <f>INT((A28-1)/12)+1</f>
        <v/>
      </c>
      <c r="C28" s="111">
        <f>Gia_dinh_Dau_vao!$G$44</f>
        <v/>
      </c>
      <c r="D28" s="112">
        <f>(1+Gia_dinh_Dau_vao!$C$10)^(B28-1)</f>
        <v/>
      </c>
      <c r="E28" s="112">
        <f>(1+Gia_dinh_Dau_vao!$C$9)^(B28-1)</f>
        <v/>
      </c>
      <c r="F28" s="112">
        <f>1/(1+Gia_dinh_Dau_vao!$C$12)^(A28/12)</f>
        <v/>
      </c>
      <c r="G28" s="95">
        <f>Gia_dinh_Dau_vao!$C$22*C28*D28</f>
        <v/>
      </c>
      <c r="H28" s="95">
        <f>G28*Gia_dinh_Dau_vao!$C$17</f>
        <v/>
      </c>
      <c r="I28" s="95">
        <f>Gia_dinh_Dau_vao!$F$40*E28</f>
        <v/>
      </c>
      <c r="J28" s="95">
        <f>G28-H28-I28</f>
        <v/>
      </c>
      <c r="K28" s="95">
        <f>IF(A28&lt;=60, CAPEX_Dau_tu!$G$32/60, 0)</f>
        <v/>
      </c>
      <c r="L28" s="95">
        <f>J28-K28</f>
        <v/>
      </c>
      <c r="M28" s="95">
        <f>IF(L28&gt;0, L28*Gia_dinh_Dau_vao!$C$11, 0)</f>
        <v/>
      </c>
      <c r="N28" s="95">
        <f>L28-M28</f>
        <v/>
      </c>
      <c r="O28" s="95">
        <f>J28-M28</f>
        <v/>
      </c>
      <c r="P28" s="95">
        <f>P27+O28</f>
        <v/>
      </c>
      <c r="Q28" s="95">
        <f>O28*F28</f>
        <v/>
      </c>
      <c r="R28" s="95">
        <f>Gia_dinh_Dau_vao!$C$23*C28*D28</f>
        <v/>
      </c>
      <c r="S28" s="95">
        <f>R28*Gia_dinh_Dau_vao!$C$17</f>
        <v/>
      </c>
      <c r="T28" s="95">
        <f>Gia_dinh_Dau_vao!$F$40*E28</f>
        <v/>
      </c>
      <c r="U28" s="95">
        <f>R28-S28-T28</f>
        <v/>
      </c>
      <c r="V28" s="95">
        <f>IF(A28&lt;=60, CAPEX_Dau_tu!$G$32/60, 0)</f>
        <v/>
      </c>
      <c r="W28" s="95">
        <f>U28-V28</f>
        <v/>
      </c>
      <c r="X28" s="95">
        <f>IF(W28&gt;0, W28*Gia_dinh_Dau_vao!$C$11, 0)</f>
        <v/>
      </c>
      <c r="Y28" s="95">
        <f>W28-X28</f>
        <v/>
      </c>
      <c r="Z28" s="95">
        <f>U28-X28</f>
        <v/>
      </c>
      <c r="AA28" s="95">
        <f>AA27+Z28</f>
        <v/>
      </c>
      <c r="AB28" s="95">
        <f>Z28*F28</f>
        <v/>
      </c>
      <c r="AC28" s="95">
        <f>Gia_dinh_Dau_vao!$C$24*C28*D28</f>
        <v/>
      </c>
      <c r="AD28" s="95">
        <f>AC28*Gia_dinh_Dau_vao!$C$17</f>
        <v/>
      </c>
      <c r="AE28" s="95">
        <f>Gia_dinh_Dau_vao!$F$40*E28</f>
        <v/>
      </c>
      <c r="AF28" s="95">
        <f>AC28-AD28-AE28</f>
        <v/>
      </c>
      <c r="AG28" s="95">
        <f>IF(A28&lt;=60, CAPEX_Dau_tu!$G$32/60, 0)</f>
        <v/>
      </c>
      <c r="AH28" s="95">
        <f>AF28-AG28</f>
        <v/>
      </c>
      <c r="AI28" s="95">
        <f>IF(AH28&gt;0, AH28*Gia_dinh_Dau_vao!$C$11, 0)</f>
        <v/>
      </c>
      <c r="AJ28" s="95">
        <f>AH28-AI28</f>
        <v/>
      </c>
      <c r="AK28" s="95">
        <f>AF28-AI28</f>
        <v/>
      </c>
      <c r="AL28" s="95">
        <f>AL27+AK28</f>
        <v/>
      </c>
      <c r="AM28" s="95">
        <f>AK28*F28</f>
        <v/>
      </c>
    </row>
    <row r="29" ht="20.1" customHeight="1" s="69">
      <c r="A29" s="19" t="n">
        <v>24</v>
      </c>
      <c r="B29" s="19">
        <f>INT((A29-1)/12)+1</f>
        <v/>
      </c>
      <c r="C29" s="111">
        <f>Gia_dinh_Dau_vao!$G$44</f>
        <v/>
      </c>
      <c r="D29" s="112">
        <f>(1+Gia_dinh_Dau_vao!$C$10)^(B29-1)</f>
        <v/>
      </c>
      <c r="E29" s="112">
        <f>(1+Gia_dinh_Dau_vao!$C$9)^(B29-1)</f>
        <v/>
      </c>
      <c r="F29" s="112">
        <f>1/(1+Gia_dinh_Dau_vao!$C$12)^(A29/12)</f>
        <v/>
      </c>
      <c r="G29" s="95">
        <f>Gia_dinh_Dau_vao!$C$22*C29*D29</f>
        <v/>
      </c>
      <c r="H29" s="95">
        <f>G29*Gia_dinh_Dau_vao!$C$17</f>
        <v/>
      </c>
      <c r="I29" s="95">
        <f>Gia_dinh_Dau_vao!$F$40*E29</f>
        <v/>
      </c>
      <c r="J29" s="95">
        <f>G29-H29-I29</f>
        <v/>
      </c>
      <c r="K29" s="95">
        <f>IF(A29&lt;=60, CAPEX_Dau_tu!$G$32/60, 0)</f>
        <v/>
      </c>
      <c r="L29" s="95">
        <f>J29-K29</f>
        <v/>
      </c>
      <c r="M29" s="95">
        <f>IF(L29&gt;0, L29*Gia_dinh_Dau_vao!$C$11, 0)</f>
        <v/>
      </c>
      <c r="N29" s="95">
        <f>L29-M29</f>
        <v/>
      </c>
      <c r="O29" s="95">
        <f>J29-M29</f>
        <v/>
      </c>
      <c r="P29" s="95">
        <f>P28+O29</f>
        <v/>
      </c>
      <c r="Q29" s="95">
        <f>O29*F29</f>
        <v/>
      </c>
      <c r="R29" s="95">
        <f>Gia_dinh_Dau_vao!$C$23*C29*D29</f>
        <v/>
      </c>
      <c r="S29" s="95">
        <f>R29*Gia_dinh_Dau_vao!$C$17</f>
        <v/>
      </c>
      <c r="T29" s="95">
        <f>Gia_dinh_Dau_vao!$F$40*E29</f>
        <v/>
      </c>
      <c r="U29" s="95">
        <f>R29-S29-T29</f>
        <v/>
      </c>
      <c r="V29" s="95">
        <f>IF(A29&lt;=60, CAPEX_Dau_tu!$G$32/60, 0)</f>
        <v/>
      </c>
      <c r="W29" s="95">
        <f>U29-V29</f>
        <v/>
      </c>
      <c r="X29" s="95">
        <f>IF(W29&gt;0, W29*Gia_dinh_Dau_vao!$C$11, 0)</f>
        <v/>
      </c>
      <c r="Y29" s="95">
        <f>W29-X29</f>
        <v/>
      </c>
      <c r="Z29" s="95">
        <f>U29-X29</f>
        <v/>
      </c>
      <c r="AA29" s="95">
        <f>AA28+Z29</f>
        <v/>
      </c>
      <c r="AB29" s="95">
        <f>Z29*F29</f>
        <v/>
      </c>
      <c r="AC29" s="95">
        <f>Gia_dinh_Dau_vao!$C$24*C29*D29</f>
        <v/>
      </c>
      <c r="AD29" s="95">
        <f>AC29*Gia_dinh_Dau_vao!$C$17</f>
        <v/>
      </c>
      <c r="AE29" s="95">
        <f>Gia_dinh_Dau_vao!$F$40*E29</f>
        <v/>
      </c>
      <c r="AF29" s="95">
        <f>AC29-AD29-AE29</f>
        <v/>
      </c>
      <c r="AG29" s="95">
        <f>IF(A29&lt;=60, CAPEX_Dau_tu!$G$32/60, 0)</f>
        <v/>
      </c>
      <c r="AH29" s="95">
        <f>AF29-AG29</f>
        <v/>
      </c>
      <c r="AI29" s="95">
        <f>IF(AH29&gt;0, AH29*Gia_dinh_Dau_vao!$C$11, 0)</f>
        <v/>
      </c>
      <c r="AJ29" s="95">
        <f>AH29-AI29</f>
        <v/>
      </c>
      <c r="AK29" s="95">
        <f>AF29-AI29</f>
        <v/>
      </c>
      <c r="AL29" s="95">
        <f>AL28+AK29</f>
        <v/>
      </c>
      <c r="AM29" s="95">
        <f>AK29*F29</f>
        <v/>
      </c>
    </row>
    <row r="30" ht="20.1" customHeight="1" s="69">
      <c r="A30" s="19" t="n">
        <v>25</v>
      </c>
      <c r="B30" s="19">
        <f>INT((A30-1)/12)+1</f>
        <v/>
      </c>
      <c r="C30" s="111">
        <f>Gia_dinh_Dau_vao!$G$44</f>
        <v/>
      </c>
      <c r="D30" s="112">
        <f>(1+Gia_dinh_Dau_vao!$C$10)^(B30-1)</f>
        <v/>
      </c>
      <c r="E30" s="112">
        <f>(1+Gia_dinh_Dau_vao!$C$9)^(B30-1)</f>
        <v/>
      </c>
      <c r="F30" s="112">
        <f>1/(1+Gia_dinh_Dau_vao!$C$12)^(A30/12)</f>
        <v/>
      </c>
      <c r="G30" s="95">
        <f>Gia_dinh_Dau_vao!$C$22*C30*D30</f>
        <v/>
      </c>
      <c r="H30" s="95">
        <f>G30*Gia_dinh_Dau_vao!$C$17</f>
        <v/>
      </c>
      <c r="I30" s="95">
        <f>Gia_dinh_Dau_vao!$F$40*E30</f>
        <v/>
      </c>
      <c r="J30" s="95">
        <f>G30-H30-I30</f>
        <v/>
      </c>
      <c r="K30" s="95">
        <f>IF(A30&lt;=60, CAPEX_Dau_tu!$G$32/60, 0)</f>
        <v/>
      </c>
      <c r="L30" s="95">
        <f>J30-K30</f>
        <v/>
      </c>
      <c r="M30" s="95">
        <f>IF(L30&gt;0, L30*Gia_dinh_Dau_vao!$C$11, 0)</f>
        <v/>
      </c>
      <c r="N30" s="95">
        <f>L30-M30</f>
        <v/>
      </c>
      <c r="O30" s="95">
        <f>J30-M30</f>
        <v/>
      </c>
      <c r="P30" s="95">
        <f>P29+O30</f>
        <v/>
      </c>
      <c r="Q30" s="95">
        <f>O30*F30</f>
        <v/>
      </c>
      <c r="R30" s="95">
        <f>Gia_dinh_Dau_vao!$C$23*C30*D30</f>
        <v/>
      </c>
      <c r="S30" s="95">
        <f>R30*Gia_dinh_Dau_vao!$C$17</f>
        <v/>
      </c>
      <c r="T30" s="95">
        <f>Gia_dinh_Dau_vao!$F$40*E30</f>
        <v/>
      </c>
      <c r="U30" s="95">
        <f>R30-S30-T30</f>
        <v/>
      </c>
      <c r="V30" s="95">
        <f>IF(A30&lt;=60, CAPEX_Dau_tu!$G$32/60, 0)</f>
        <v/>
      </c>
      <c r="W30" s="95">
        <f>U30-V30</f>
        <v/>
      </c>
      <c r="X30" s="95">
        <f>IF(W30&gt;0, W30*Gia_dinh_Dau_vao!$C$11, 0)</f>
        <v/>
      </c>
      <c r="Y30" s="95">
        <f>W30-X30</f>
        <v/>
      </c>
      <c r="Z30" s="95">
        <f>U30-X30</f>
        <v/>
      </c>
      <c r="AA30" s="95">
        <f>AA29+Z30</f>
        <v/>
      </c>
      <c r="AB30" s="95">
        <f>Z30*F30</f>
        <v/>
      </c>
      <c r="AC30" s="95">
        <f>Gia_dinh_Dau_vao!$C$24*C30*D30</f>
        <v/>
      </c>
      <c r="AD30" s="95">
        <f>AC30*Gia_dinh_Dau_vao!$C$17</f>
        <v/>
      </c>
      <c r="AE30" s="95">
        <f>Gia_dinh_Dau_vao!$F$40*E30</f>
        <v/>
      </c>
      <c r="AF30" s="95">
        <f>AC30-AD30-AE30</f>
        <v/>
      </c>
      <c r="AG30" s="95">
        <f>IF(A30&lt;=60, CAPEX_Dau_tu!$G$32/60, 0)</f>
        <v/>
      </c>
      <c r="AH30" s="95">
        <f>AF30-AG30</f>
        <v/>
      </c>
      <c r="AI30" s="95">
        <f>IF(AH30&gt;0, AH30*Gia_dinh_Dau_vao!$C$11, 0)</f>
        <v/>
      </c>
      <c r="AJ30" s="95">
        <f>AH30-AI30</f>
        <v/>
      </c>
      <c r="AK30" s="95">
        <f>AF30-AI30</f>
        <v/>
      </c>
      <c r="AL30" s="95">
        <f>AL29+AK30</f>
        <v/>
      </c>
      <c r="AM30" s="95">
        <f>AK30*F30</f>
        <v/>
      </c>
    </row>
    <row r="31" ht="20.1" customHeight="1" s="69">
      <c r="A31" s="19" t="n">
        <v>26</v>
      </c>
      <c r="B31" s="19">
        <f>INT((A31-1)/12)+1</f>
        <v/>
      </c>
      <c r="C31" s="111">
        <f>Gia_dinh_Dau_vao!$G$44</f>
        <v/>
      </c>
      <c r="D31" s="112">
        <f>(1+Gia_dinh_Dau_vao!$C$10)^(B31-1)</f>
        <v/>
      </c>
      <c r="E31" s="112">
        <f>(1+Gia_dinh_Dau_vao!$C$9)^(B31-1)</f>
        <v/>
      </c>
      <c r="F31" s="112">
        <f>1/(1+Gia_dinh_Dau_vao!$C$12)^(A31/12)</f>
        <v/>
      </c>
      <c r="G31" s="95">
        <f>Gia_dinh_Dau_vao!$C$22*C31*D31</f>
        <v/>
      </c>
      <c r="H31" s="95">
        <f>G31*Gia_dinh_Dau_vao!$C$17</f>
        <v/>
      </c>
      <c r="I31" s="95">
        <f>Gia_dinh_Dau_vao!$F$40*E31</f>
        <v/>
      </c>
      <c r="J31" s="95">
        <f>G31-H31-I31</f>
        <v/>
      </c>
      <c r="K31" s="95">
        <f>IF(A31&lt;=60, CAPEX_Dau_tu!$G$32/60, 0)</f>
        <v/>
      </c>
      <c r="L31" s="95">
        <f>J31-K31</f>
        <v/>
      </c>
      <c r="M31" s="95">
        <f>IF(L31&gt;0, L31*Gia_dinh_Dau_vao!$C$11, 0)</f>
        <v/>
      </c>
      <c r="N31" s="95">
        <f>L31-M31</f>
        <v/>
      </c>
      <c r="O31" s="95">
        <f>J31-M31</f>
        <v/>
      </c>
      <c r="P31" s="95">
        <f>P30+O31</f>
        <v/>
      </c>
      <c r="Q31" s="95">
        <f>O31*F31</f>
        <v/>
      </c>
      <c r="R31" s="95">
        <f>Gia_dinh_Dau_vao!$C$23*C31*D31</f>
        <v/>
      </c>
      <c r="S31" s="95">
        <f>R31*Gia_dinh_Dau_vao!$C$17</f>
        <v/>
      </c>
      <c r="T31" s="95">
        <f>Gia_dinh_Dau_vao!$F$40*E31</f>
        <v/>
      </c>
      <c r="U31" s="95">
        <f>R31-S31-T31</f>
        <v/>
      </c>
      <c r="V31" s="95">
        <f>IF(A31&lt;=60, CAPEX_Dau_tu!$G$32/60, 0)</f>
        <v/>
      </c>
      <c r="W31" s="95">
        <f>U31-V31</f>
        <v/>
      </c>
      <c r="X31" s="95">
        <f>IF(W31&gt;0, W31*Gia_dinh_Dau_vao!$C$11, 0)</f>
        <v/>
      </c>
      <c r="Y31" s="95">
        <f>W31-X31</f>
        <v/>
      </c>
      <c r="Z31" s="95">
        <f>U31-X31</f>
        <v/>
      </c>
      <c r="AA31" s="95">
        <f>AA30+Z31</f>
        <v/>
      </c>
      <c r="AB31" s="95">
        <f>Z31*F31</f>
        <v/>
      </c>
      <c r="AC31" s="95">
        <f>Gia_dinh_Dau_vao!$C$24*C31*D31</f>
        <v/>
      </c>
      <c r="AD31" s="95">
        <f>AC31*Gia_dinh_Dau_vao!$C$17</f>
        <v/>
      </c>
      <c r="AE31" s="95">
        <f>Gia_dinh_Dau_vao!$F$40*E31</f>
        <v/>
      </c>
      <c r="AF31" s="95">
        <f>AC31-AD31-AE31</f>
        <v/>
      </c>
      <c r="AG31" s="95">
        <f>IF(A31&lt;=60, CAPEX_Dau_tu!$G$32/60, 0)</f>
        <v/>
      </c>
      <c r="AH31" s="95">
        <f>AF31-AG31</f>
        <v/>
      </c>
      <c r="AI31" s="95">
        <f>IF(AH31&gt;0, AH31*Gia_dinh_Dau_vao!$C$11, 0)</f>
        <v/>
      </c>
      <c r="AJ31" s="95">
        <f>AH31-AI31</f>
        <v/>
      </c>
      <c r="AK31" s="95">
        <f>AF31-AI31</f>
        <v/>
      </c>
      <c r="AL31" s="95">
        <f>AL30+AK31</f>
        <v/>
      </c>
      <c r="AM31" s="95">
        <f>AK31*F31</f>
        <v/>
      </c>
    </row>
    <row r="32" ht="20.1" customHeight="1" s="69">
      <c r="A32" s="19" t="n">
        <v>27</v>
      </c>
      <c r="B32" s="19">
        <f>INT((A32-1)/12)+1</f>
        <v/>
      </c>
      <c r="C32" s="111">
        <f>Gia_dinh_Dau_vao!$G$44</f>
        <v/>
      </c>
      <c r="D32" s="112">
        <f>(1+Gia_dinh_Dau_vao!$C$10)^(B32-1)</f>
        <v/>
      </c>
      <c r="E32" s="112">
        <f>(1+Gia_dinh_Dau_vao!$C$9)^(B32-1)</f>
        <v/>
      </c>
      <c r="F32" s="112">
        <f>1/(1+Gia_dinh_Dau_vao!$C$12)^(A32/12)</f>
        <v/>
      </c>
      <c r="G32" s="95">
        <f>Gia_dinh_Dau_vao!$C$22*C32*D32</f>
        <v/>
      </c>
      <c r="H32" s="95">
        <f>G32*Gia_dinh_Dau_vao!$C$17</f>
        <v/>
      </c>
      <c r="I32" s="95">
        <f>Gia_dinh_Dau_vao!$F$40*E32</f>
        <v/>
      </c>
      <c r="J32" s="95">
        <f>G32-H32-I32</f>
        <v/>
      </c>
      <c r="K32" s="95">
        <f>IF(A32&lt;=60, CAPEX_Dau_tu!$G$32/60, 0)</f>
        <v/>
      </c>
      <c r="L32" s="95">
        <f>J32-K32</f>
        <v/>
      </c>
      <c r="M32" s="95">
        <f>IF(L32&gt;0, L32*Gia_dinh_Dau_vao!$C$11, 0)</f>
        <v/>
      </c>
      <c r="N32" s="95">
        <f>L32-M32</f>
        <v/>
      </c>
      <c r="O32" s="95">
        <f>J32-M32</f>
        <v/>
      </c>
      <c r="P32" s="95">
        <f>P31+O32</f>
        <v/>
      </c>
      <c r="Q32" s="95">
        <f>O32*F32</f>
        <v/>
      </c>
      <c r="R32" s="95">
        <f>Gia_dinh_Dau_vao!$C$23*C32*D32</f>
        <v/>
      </c>
      <c r="S32" s="95">
        <f>R32*Gia_dinh_Dau_vao!$C$17</f>
        <v/>
      </c>
      <c r="T32" s="95">
        <f>Gia_dinh_Dau_vao!$F$40*E32</f>
        <v/>
      </c>
      <c r="U32" s="95">
        <f>R32-S32-T32</f>
        <v/>
      </c>
      <c r="V32" s="95">
        <f>IF(A32&lt;=60, CAPEX_Dau_tu!$G$32/60, 0)</f>
        <v/>
      </c>
      <c r="W32" s="95">
        <f>U32-V32</f>
        <v/>
      </c>
      <c r="X32" s="95">
        <f>IF(W32&gt;0, W32*Gia_dinh_Dau_vao!$C$11, 0)</f>
        <v/>
      </c>
      <c r="Y32" s="95">
        <f>W32-X32</f>
        <v/>
      </c>
      <c r="Z32" s="95">
        <f>U32-X32</f>
        <v/>
      </c>
      <c r="AA32" s="95">
        <f>AA31+Z32</f>
        <v/>
      </c>
      <c r="AB32" s="95">
        <f>Z32*F32</f>
        <v/>
      </c>
      <c r="AC32" s="95">
        <f>Gia_dinh_Dau_vao!$C$24*C32*D32</f>
        <v/>
      </c>
      <c r="AD32" s="95">
        <f>AC32*Gia_dinh_Dau_vao!$C$17</f>
        <v/>
      </c>
      <c r="AE32" s="95">
        <f>Gia_dinh_Dau_vao!$F$40*E32</f>
        <v/>
      </c>
      <c r="AF32" s="95">
        <f>AC32-AD32-AE32</f>
        <v/>
      </c>
      <c r="AG32" s="95">
        <f>IF(A32&lt;=60, CAPEX_Dau_tu!$G$32/60, 0)</f>
        <v/>
      </c>
      <c r="AH32" s="95">
        <f>AF32-AG32</f>
        <v/>
      </c>
      <c r="AI32" s="95">
        <f>IF(AH32&gt;0, AH32*Gia_dinh_Dau_vao!$C$11, 0)</f>
        <v/>
      </c>
      <c r="AJ32" s="95">
        <f>AH32-AI32</f>
        <v/>
      </c>
      <c r="AK32" s="95">
        <f>AF32-AI32</f>
        <v/>
      </c>
      <c r="AL32" s="95">
        <f>AL31+AK32</f>
        <v/>
      </c>
      <c r="AM32" s="95">
        <f>AK32*F32</f>
        <v/>
      </c>
    </row>
    <row r="33" ht="20.1" customHeight="1" s="69">
      <c r="A33" s="19" t="n">
        <v>28</v>
      </c>
      <c r="B33" s="19">
        <f>INT((A33-1)/12)+1</f>
        <v/>
      </c>
      <c r="C33" s="111">
        <f>Gia_dinh_Dau_vao!$G$44</f>
        <v/>
      </c>
      <c r="D33" s="112">
        <f>(1+Gia_dinh_Dau_vao!$C$10)^(B33-1)</f>
        <v/>
      </c>
      <c r="E33" s="112">
        <f>(1+Gia_dinh_Dau_vao!$C$9)^(B33-1)</f>
        <v/>
      </c>
      <c r="F33" s="112">
        <f>1/(1+Gia_dinh_Dau_vao!$C$12)^(A33/12)</f>
        <v/>
      </c>
      <c r="G33" s="95">
        <f>Gia_dinh_Dau_vao!$C$22*C33*D33</f>
        <v/>
      </c>
      <c r="H33" s="95">
        <f>G33*Gia_dinh_Dau_vao!$C$17</f>
        <v/>
      </c>
      <c r="I33" s="95">
        <f>Gia_dinh_Dau_vao!$F$40*E33</f>
        <v/>
      </c>
      <c r="J33" s="95">
        <f>G33-H33-I33</f>
        <v/>
      </c>
      <c r="K33" s="95">
        <f>IF(A33&lt;=60, CAPEX_Dau_tu!$G$32/60, 0)</f>
        <v/>
      </c>
      <c r="L33" s="95">
        <f>J33-K33</f>
        <v/>
      </c>
      <c r="M33" s="95">
        <f>IF(L33&gt;0, L33*Gia_dinh_Dau_vao!$C$11, 0)</f>
        <v/>
      </c>
      <c r="N33" s="95">
        <f>L33-M33</f>
        <v/>
      </c>
      <c r="O33" s="95">
        <f>J33-M33</f>
        <v/>
      </c>
      <c r="P33" s="95">
        <f>P32+O33</f>
        <v/>
      </c>
      <c r="Q33" s="95">
        <f>O33*F33</f>
        <v/>
      </c>
      <c r="R33" s="95">
        <f>Gia_dinh_Dau_vao!$C$23*C33*D33</f>
        <v/>
      </c>
      <c r="S33" s="95">
        <f>R33*Gia_dinh_Dau_vao!$C$17</f>
        <v/>
      </c>
      <c r="T33" s="95">
        <f>Gia_dinh_Dau_vao!$F$40*E33</f>
        <v/>
      </c>
      <c r="U33" s="95">
        <f>R33-S33-T33</f>
        <v/>
      </c>
      <c r="V33" s="95">
        <f>IF(A33&lt;=60, CAPEX_Dau_tu!$G$32/60, 0)</f>
        <v/>
      </c>
      <c r="W33" s="95">
        <f>U33-V33</f>
        <v/>
      </c>
      <c r="X33" s="95">
        <f>IF(W33&gt;0, W33*Gia_dinh_Dau_vao!$C$11, 0)</f>
        <v/>
      </c>
      <c r="Y33" s="95">
        <f>W33-X33</f>
        <v/>
      </c>
      <c r="Z33" s="95">
        <f>U33-X33</f>
        <v/>
      </c>
      <c r="AA33" s="95">
        <f>AA32+Z33</f>
        <v/>
      </c>
      <c r="AB33" s="95">
        <f>Z33*F33</f>
        <v/>
      </c>
      <c r="AC33" s="95">
        <f>Gia_dinh_Dau_vao!$C$24*C33*D33</f>
        <v/>
      </c>
      <c r="AD33" s="95">
        <f>AC33*Gia_dinh_Dau_vao!$C$17</f>
        <v/>
      </c>
      <c r="AE33" s="95">
        <f>Gia_dinh_Dau_vao!$F$40*E33</f>
        <v/>
      </c>
      <c r="AF33" s="95">
        <f>AC33-AD33-AE33</f>
        <v/>
      </c>
      <c r="AG33" s="95">
        <f>IF(A33&lt;=60, CAPEX_Dau_tu!$G$32/60, 0)</f>
        <v/>
      </c>
      <c r="AH33" s="95">
        <f>AF33-AG33</f>
        <v/>
      </c>
      <c r="AI33" s="95">
        <f>IF(AH33&gt;0, AH33*Gia_dinh_Dau_vao!$C$11, 0)</f>
        <v/>
      </c>
      <c r="AJ33" s="95">
        <f>AH33-AI33</f>
        <v/>
      </c>
      <c r="AK33" s="95">
        <f>AF33-AI33</f>
        <v/>
      </c>
      <c r="AL33" s="95">
        <f>AL32+AK33</f>
        <v/>
      </c>
      <c r="AM33" s="95">
        <f>AK33*F33</f>
        <v/>
      </c>
    </row>
    <row r="34" ht="20.1" customHeight="1" s="69">
      <c r="A34" s="19" t="n">
        <v>29</v>
      </c>
      <c r="B34" s="19">
        <f>INT((A34-1)/12)+1</f>
        <v/>
      </c>
      <c r="C34" s="111">
        <f>Gia_dinh_Dau_vao!$G$44</f>
        <v/>
      </c>
      <c r="D34" s="112">
        <f>(1+Gia_dinh_Dau_vao!$C$10)^(B34-1)</f>
        <v/>
      </c>
      <c r="E34" s="112">
        <f>(1+Gia_dinh_Dau_vao!$C$9)^(B34-1)</f>
        <v/>
      </c>
      <c r="F34" s="112">
        <f>1/(1+Gia_dinh_Dau_vao!$C$12)^(A34/12)</f>
        <v/>
      </c>
      <c r="G34" s="95">
        <f>Gia_dinh_Dau_vao!$C$22*C34*D34</f>
        <v/>
      </c>
      <c r="H34" s="95">
        <f>G34*Gia_dinh_Dau_vao!$C$17</f>
        <v/>
      </c>
      <c r="I34" s="95">
        <f>Gia_dinh_Dau_vao!$F$40*E34</f>
        <v/>
      </c>
      <c r="J34" s="95">
        <f>G34-H34-I34</f>
        <v/>
      </c>
      <c r="K34" s="95">
        <f>IF(A34&lt;=60, CAPEX_Dau_tu!$G$32/60, 0)</f>
        <v/>
      </c>
      <c r="L34" s="95">
        <f>J34-K34</f>
        <v/>
      </c>
      <c r="M34" s="95">
        <f>IF(L34&gt;0, L34*Gia_dinh_Dau_vao!$C$11, 0)</f>
        <v/>
      </c>
      <c r="N34" s="95">
        <f>L34-M34</f>
        <v/>
      </c>
      <c r="O34" s="95">
        <f>J34-M34</f>
        <v/>
      </c>
      <c r="P34" s="95">
        <f>P33+O34</f>
        <v/>
      </c>
      <c r="Q34" s="95">
        <f>O34*F34</f>
        <v/>
      </c>
      <c r="R34" s="95">
        <f>Gia_dinh_Dau_vao!$C$23*C34*D34</f>
        <v/>
      </c>
      <c r="S34" s="95">
        <f>R34*Gia_dinh_Dau_vao!$C$17</f>
        <v/>
      </c>
      <c r="T34" s="95">
        <f>Gia_dinh_Dau_vao!$F$40*E34</f>
        <v/>
      </c>
      <c r="U34" s="95">
        <f>R34-S34-T34</f>
        <v/>
      </c>
      <c r="V34" s="95">
        <f>IF(A34&lt;=60, CAPEX_Dau_tu!$G$32/60, 0)</f>
        <v/>
      </c>
      <c r="W34" s="95">
        <f>U34-V34</f>
        <v/>
      </c>
      <c r="X34" s="95">
        <f>IF(W34&gt;0, W34*Gia_dinh_Dau_vao!$C$11, 0)</f>
        <v/>
      </c>
      <c r="Y34" s="95">
        <f>W34-X34</f>
        <v/>
      </c>
      <c r="Z34" s="95">
        <f>U34-X34</f>
        <v/>
      </c>
      <c r="AA34" s="95">
        <f>AA33+Z34</f>
        <v/>
      </c>
      <c r="AB34" s="95">
        <f>Z34*F34</f>
        <v/>
      </c>
      <c r="AC34" s="95">
        <f>Gia_dinh_Dau_vao!$C$24*C34*D34</f>
        <v/>
      </c>
      <c r="AD34" s="95">
        <f>AC34*Gia_dinh_Dau_vao!$C$17</f>
        <v/>
      </c>
      <c r="AE34" s="95">
        <f>Gia_dinh_Dau_vao!$F$40*E34</f>
        <v/>
      </c>
      <c r="AF34" s="95">
        <f>AC34-AD34-AE34</f>
        <v/>
      </c>
      <c r="AG34" s="95">
        <f>IF(A34&lt;=60, CAPEX_Dau_tu!$G$32/60, 0)</f>
        <v/>
      </c>
      <c r="AH34" s="95">
        <f>AF34-AG34</f>
        <v/>
      </c>
      <c r="AI34" s="95">
        <f>IF(AH34&gt;0, AH34*Gia_dinh_Dau_vao!$C$11, 0)</f>
        <v/>
      </c>
      <c r="AJ34" s="95">
        <f>AH34-AI34</f>
        <v/>
      </c>
      <c r="AK34" s="95">
        <f>AF34-AI34</f>
        <v/>
      </c>
      <c r="AL34" s="95">
        <f>AL33+AK34</f>
        <v/>
      </c>
      <c r="AM34" s="95">
        <f>AK34*F34</f>
        <v/>
      </c>
    </row>
    <row r="35" ht="20.1" customHeight="1" s="69">
      <c r="A35" s="19" t="n">
        <v>30</v>
      </c>
      <c r="B35" s="19">
        <f>INT((A35-1)/12)+1</f>
        <v/>
      </c>
      <c r="C35" s="111">
        <f>Gia_dinh_Dau_vao!$G$44</f>
        <v/>
      </c>
      <c r="D35" s="112">
        <f>(1+Gia_dinh_Dau_vao!$C$10)^(B35-1)</f>
        <v/>
      </c>
      <c r="E35" s="112">
        <f>(1+Gia_dinh_Dau_vao!$C$9)^(B35-1)</f>
        <v/>
      </c>
      <c r="F35" s="112">
        <f>1/(1+Gia_dinh_Dau_vao!$C$12)^(A35/12)</f>
        <v/>
      </c>
      <c r="G35" s="95">
        <f>Gia_dinh_Dau_vao!$C$22*C35*D35</f>
        <v/>
      </c>
      <c r="H35" s="95">
        <f>G35*Gia_dinh_Dau_vao!$C$17</f>
        <v/>
      </c>
      <c r="I35" s="95">
        <f>Gia_dinh_Dau_vao!$F$40*E35</f>
        <v/>
      </c>
      <c r="J35" s="95">
        <f>G35-H35-I35</f>
        <v/>
      </c>
      <c r="K35" s="95">
        <f>IF(A35&lt;=60, CAPEX_Dau_tu!$G$32/60, 0)</f>
        <v/>
      </c>
      <c r="L35" s="95">
        <f>J35-K35</f>
        <v/>
      </c>
      <c r="M35" s="95">
        <f>IF(L35&gt;0, L35*Gia_dinh_Dau_vao!$C$11, 0)</f>
        <v/>
      </c>
      <c r="N35" s="95">
        <f>L35-M35</f>
        <v/>
      </c>
      <c r="O35" s="95">
        <f>J35-M35</f>
        <v/>
      </c>
      <c r="P35" s="95">
        <f>P34+O35</f>
        <v/>
      </c>
      <c r="Q35" s="95">
        <f>O35*F35</f>
        <v/>
      </c>
      <c r="R35" s="95">
        <f>Gia_dinh_Dau_vao!$C$23*C35*D35</f>
        <v/>
      </c>
      <c r="S35" s="95">
        <f>R35*Gia_dinh_Dau_vao!$C$17</f>
        <v/>
      </c>
      <c r="T35" s="95">
        <f>Gia_dinh_Dau_vao!$F$40*E35</f>
        <v/>
      </c>
      <c r="U35" s="95">
        <f>R35-S35-T35</f>
        <v/>
      </c>
      <c r="V35" s="95">
        <f>IF(A35&lt;=60, CAPEX_Dau_tu!$G$32/60, 0)</f>
        <v/>
      </c>
      <c r="W35" s="95">
        <f>U35-V35</f>
        <v/>
      </c>
      <c r="X35" s="95">
        <f>IF(W35&gt;0, W35*Gia_dinh_Dau_vao!$C$11, 0)</f>
        <v/>
      </c>
      <c r="Y35" s="95">
        <f>W35-X35</f>
        <v/>
      </c>
      <c r="Z35" s="95">
        <f>U35-X35</f>
        <v/>
      </c>
      <c r="AA35" s="95">
        <f>AA34+Z35</f>
        <v/>
      </c>
      <c r="AB35" s="95">
        <f>Z35*F35</f>
        <v/>
      </c>
      <c r="AC35" s="95">
        <f>Gia_dinh_Dau_vao!$C$24*C35*D35</f>
        <v/>
      </c>
      <c r="AD35" s="95">
        <f>AC35*Gia_dinh_Dau_vao!$C$17</f>
        <v/>
      </c>
      <c r="AE35" s="95">
        <f>Gia_dinh_Dau_vao!$F$40*E35</f>
        <v/>
      </c>
      <c r="AF35" s="95">
        <f>AC35-AD35-AE35</f>
        <v/>
      </c>
      <c r="AG35" s="95">
        <f>IF(A35&lt;=60, CAPEX_Dau_tu!$G$32/60, 0)</f>
        <v/>
      </c>
      <c r="AH35" s="95">
        <f>AF35-AG35</f>
        <v/>
      </c>
      <c r="AI35" s="95">
        <f>IF(AH35&gt;0, AH35*Gia_dinh_Dau_vao!$C$11, 0)</f>
        <v/>
      </c>
      <c r="AJ35" s="95">
        <f>AH35-AI35</f>
        <v/>
      </c>
      <c r="AK35" s="95">
        <f>AF35-AI35</f>
        <v/>
      </c>
      <c r="AL35" s="95">
        <f>AL34+AK35</f>
        <v/>
      </c>
      <c r="AM35" s="95">
        <f>AK35*F35</f>
        <v/>
      </c>
    </row>
    <row r="36" ht="20.1" customHeight="1" s="69">
      <c r="A36" s="19" t="n">
        <v>31</v>
      </c>
      <c r="B36" s="19">
        <f>INT((A36-1)/12)+1</f>
        <v/>
      </c>
      <c r="C36" s="111">
        <f>Gia_dinh_Dau_vao!$G$44</f>
        <v/>
      </c>
      <c r="D36" s="112">
        <f>(1+Gia_dinh_Dau_vao!$C$10)^(B36-1)</f>
        <v/>
      </c>
      <c r="E36" s="112">
        <f>(1+Gia_dinh_Dau_vao!$C$9)^(B36-1)</f>
        <v/>
      </c>
      <c r="F36" s="112">
        <f>1/(1+Gia_dinh_Dau_vao!$C$12)^(A36/12)</f>
        <v/>
      </c>
      <c r="G36" s="95">
        <f>Gia_dinh_Dau_vao!$C$22*C36*D36</f>
        <v/>
      </c>
      <c r="H36" s="95">
        <f>G36*Gia_dinh_Dau_vao!$C$17</f>
        <v/>
      </c>
      <c r="I36" s="95">
        <f>Gia_dinh_Dau_vao!$F$40*E36</f>
        <v/>
      </c>
      <c r="J36" s="95">
        <f>G36-H36-I36</f>
        <v/>
      </c>
      <c r="K36" s="95">
        <f>IF(A36&lt;=60, CAPEX_Dau_tu!$G$32/60, 0)</f>
        <v/>
      </c>
      <c r="L36" s="95">
        <f>J36-K36</f>
        <v/>
      </c>
      <c r="M36" s="95">
        <f>IF(L36&gt;0, L36*Gia_dinh_Dau_vao!$C$11, 0)</f>
        <v/>
      </c>
      <c r="N36" s="95">
        <f>L36-M36</f>
        <v/>
      </c>
      <c r="O36" s="95">
        <f>J36-M36</f>
        <v/>
      </c>
      <c r="P36" s="95">
        <f>P35+O36</f>
        <v/>
      </c>
      <c r="Q36" s="95">
        <f>O36*F36</f>
        <v/>
      </c>
      <c r="R36" s="95">
        <f>Gia_dinh_Dau_vao!$C$23*C36*D36</f>
        <v/>
      </c>
      <c r="S36" s="95">
        <f>R36*Gia_dinh_Dau_vao!$C$17</f>
        <v/>
      </c>
      <c r="T36" s="95">
        <f>Gia_dinh_Dau_vao!$F$40*E36</f>
        <v/>
      </c>
      <c r="U36" s="95">
        <f>R36-S36-T36</f>
        <v/>
      </c>
      <c r="V36" s="95">
        <f>IF(A36&lt;=60, CAPEX_Dau_tu!$G$32/60, 0)</f>
        <v/>
      </c>
      <c r="W36" s="95">
        <f>U36-V36</f>
        <v/>
      </c>
      <c r="X36" s="95">
        <f>IF(W36&gt;0, W36*Gia_dinh_Dau_vao!$C$11, 0)</f>
        <v/>
      </c>
      <c r="Y36" s="95">
        <f>W36-X36</f>
        <v/>
      </c>
      <c r="Z36" s="95">
        <f>U36-X36</f>
        <v/>
      </c>
      <c r="AA36" s="95">
        <f>AA35+Z36</f>
        <v/>
      </c>
      <c r="AB36" s="95">
        <f>Z36*F36</f>
        <v/>
      </c>
      <c r="AC36" s="95">
        <f>Gia_dinh_Dau_vao!$C$24*C36*D36</f>
        <v/>
      </c>
      <c r="AD36" s="95">
        <f>AC36*Gia_dinh_Dau_vao!$C$17</f>
        <v/>
      </c>
      <c r="AE36" s="95">
        <f>Gia_dinh_Dau_vao!$F$40*E36</f>
        <v/>
      </c>
      <c r="AF36" s="95">
        <f>AC36-AD36-AE36</f>
        <v/>
      </c>
      <c r="AG36" s="95">
        <f>IF(A36&lt;=60, CAPEX_Dau_tu!$G$32/60, 0)</f>
        <v/>
      </c>
      <c r="AH36" s="95">
        <f>AF36-AG36</f>
        <v/>
      </c>
      <c r="AI36" s="95">
        <f>IF(AH36&gt;0, AH36*Gia_dinh_Dau_vao!$C$11, 0)</f>
        <v/>
      </c>
      <c r="AJ36" s="95">
        <f>AH36-AI36</f>
        <v/>
      </c>
      <c r="AK36" s="95">
        <f>AF36-AI36</f>
        <v/>
      </c>
      <c r="AL36" s="95">
        <f>AL35+AK36</f>
        <v/>
      </c>
      <c r="AM36" s="95">
        <f>AK36*F36</f>
        <v/>
      </c>
    </row>
    <row r="37" ht="20.1" customHeight="1" s="69">
      <c r="A37" s="19" t="n">
        <v>32</v>
      </c>
      <c r="B37" s="19">
        <f>INT((A37-1)/12)+1</f>
        <v/>
      </c>
      <c r="C37" s="111">
        <f>Gia_dinh_Dau_vao!$G$44</f>
        <v/>
      </c>
      <c r="D37" s="112">
        <f>(1+Gia_dinh_Dau_vao!$C$10)^(B37-1)</f>
        <v/>
      </c>
      <c r="E37" s="112">
        <f>(1+Gia_dinh_Dau_vao!$C$9)^(B37-1)</f>
        <v/>
      </c>
      <c r="F37" s="112">
        <f>1/(1+Gia_dinh_Dau_vao!$C$12)^(A37/12)</f>
        <v/>
      </c>
      <c r="G37" s="95">
        <f>Gia_dinh_Dau_vao!$C$22*C37*D37</f>
        <v/>
      </c>
      <c r="H37" s="95">
        <f>G37*Gia_dinh_Dau_vao!$C$17</f>
        <v/>
      </c>
      <c r="I37" s="95">
        <f>Gia_dinh_Dau_vao!$F$40*E37</f>
        <v/>
      </c>
      <c r="J37" s="95">
        <f>G37-H37-I37</f>
        <v/>
      </c>
      <c r="K37" s="95">
        <f>IF(A37&lt;=60, CAPEX_Dau_tu!$G$32/60, 0)</f>
        <v/>
      </c>
      <c r="L37" s="95">
        <f>J37-K37</f>
        <v/>
      </c>
      <c r="M37" s="95">
        <f>IF(L37&gt;0, L37*Gia_dinh_Dau_vao!$C$11, 0)</f>
        <v/>
      </c>
      <c r="N37" s="95">
        <f>L37-M37</f>
        <v/>
      </c>
      <c r="O37" s="95">
        <f>J37-M37</f>
        <v/>
      </c>
      <c r="P37" s="95">
        <f>P36+O37</f>
        <v/>
      </c>
      <c r="Q37" s="95">
        <f>O37*F37</f>
        <v/>
      </c>
      <c r="R37" s="95">
        <f>Gia_dinh_Dau_vao!$C$23*C37*D37</f>
        <v/>
      </c>
      <c r="S37" s="95">
        <f>R37*Gia_dinh_Dau_vao!$C$17</f>
        <v/>
      </c>
      <c r="T37" s="95">
        <f>Gia_dinh_Dau_vao!$F$40*E37</f>
        <v/>
      </c>
      <c r="U37" s="95">
        <f>R37-S37-T37</f>
        <v/>
      </c>
      <c r="V37" s="95">
        <f>IF(A37&lt;=60, CAPEX_Dau_tu!$G$32/60, 0)</f>
        <v/>
      </c>
      <c r="W37" s="95">
        <f>U37-V37</f>
        <v/>
      </c>
      <c r="X37" s="95">
        <f>IF(W37&gt;0, W37*Gia_dinh_Dau_vao!$C$11, 0)</f>
        <v/>
      </c>
      <c r="Y37" s="95">
        <f>W37-X37</f>
        <v/>
      </c>
      <c r="Z37" s="95">
        <f>U37-X37</f>
        <v/>
      </c>
      <c r="AA37" s="95">
        <f>AA36+Z37</f>
        <v/>
      </c>
      <c r="AB37" s="95">
        <f>Z37*F37</f>
        <v/>
      </c>
      <c r="AC37" s="95">
        <f>Gia_dinh_Dau_vao!$C$24*C37*D37</f>
        <v/>
      </c>
      <c r="AD37" s="95">
        <f>AC37*Gia_dinh_Dau_vao!$C$17</f>
        <v/>
      </c>
      <c r="AE37" s="95">
        <f>Gia_dinh_Dau_vao!$F$40*E37</f>
        <v/>
      </c>
      <c r="AF37" s="95">
        <f>AC37-AD37-AE37</f>
        <v/>
      </c>
      <c r="AG37" s="95">
        <f>IF(A37&lt;=60, CAPEX_Dau_tu!$G$32/60, 0)</f>
        <v/>
      </c>
      <c r="AH37" s="95">
        <f>AF37-AG37</f>
        <v/>
      </c>
      <c r="AI37" s="95">
        <f>IF(AH37&gt;0, AH37*Gia_dinh_Dau_vao!$C$11, 0)</f>
        <v/>
      </c>
      <c r="AJ37" s="95">
        <f>AH37-AI37</f>
        <v/>
      </c>
      <c r="AK37" s="95">
        <f>AF37-AI37</f>
        <v/>
      </c>
      <c r="AL37" s="95">
        <f>AL36+AK37</f>
        <v/>
      </c>
      <c r="AM37" s="95">
        <f>AK37*F37</f>
        <v/>
      </c>
    </row>
    <row r="38" ht="20.1" customHeight="1" s="69">
      <c r="A38" s="19" t="n">
        <v>33</v>
      </c>
      <c r="B38" s="19">
        <f>INT((A38-1)/12)+1</f>
        <v/>
      </c>
      <c r="C38" s="111">
        <f>Gia_dinh_Dau_vao!$G$44</f>
        <v/>
      </c>
      <c r="D38" s="112">
        <f>(1+Gia_dinh_Dau_vao!$C$10)^(B38-1)</f>
        <v/>
      </c>
      <c r="E38" s="112">
        <f>(1+Gia_dinh_Dau_vao!$C$9)^(B38-1)</f>
        <v/>
      </c>
      <c r="F38" s="112">
        <f>1/(1+Gia_dinh_Dau_vao!$C$12)^(A38/12)</f>
        <v/>
      </c>
      <c r="G38" s="95">
        <f>Gia_dinh_Dau_vao!$C$22*C38*D38</f>
        <v/>
      </c>
      <c r="H38" s="95">
        <f>G38*Gia_dinh_Dau_vao!$C$17</f>
        <v/>
      </c>
      <c r="I38" s="95">
        <f>Gia_dinh_Dau_vao!$F$40*E38</f>
        <v/>
      </c>
      <c r="J38" s="95">
        <f>G38-H38-I38</f>
        <v/>
      </c>
      <c r="K38" s="95">
        <f>IF(A38&lt;=60, CAPEX_Dau_tu!$G$32/60, 0)</f>
        <v/>
      </c>
      <c r="L38" s="95">
        <f>J38-K38</f>
        <v/>
      </c>
      <c r="M38" s="95">
        <f>IF(L38&gt;0, L38*Gia_dinh_Dau_vao!$C$11, 0)</f>
        <v/>
      </c>
      <c r="N38" s="95">
        <f>L38-M38</f>
        <v/>
      </c>
      <c r="O38" s="95">
        <f>J38-M38</f>
        <v/>
      </c>
      <c r="P38" s="95">
        <f>P37+O38</f>
        <v/>
      </c>
      <c r="Q38" s="95">
        <f>O38*F38</f>
        <v/>
      </c>
      <c r="R38" s="95">
        <f>Gia_dinh_Dau_vao!$C$23*C38*D38</f>
        <v/>
      </c>
      <c r="S38" s="95">
        <f>R38*Gia_dinh_Dau_vao!$C$17</f>
        <v/>
      </c>
      <c r="T38" s="95">
        <f>Gia_dinh_Dau_vao!$F$40*E38</f>
        <v/>
      </c>
      <c r="U38" s="95">
        <f>R38-S38-T38</f>
        <v/>
      </c>
      <c r="V38" s="95">
        <f>IF(A38&lt;=60, CAPEX_Dau_tu!$G$32/60, 0)</f>
        <v/>
      </c>
      <c r="W38" s="95">
        <f>U38-V38</f>
        <v/>
      </c>
      <c r="X38" s="95">
        <f>IF(W38&gt;0, W38*Gia_dinh_Dau_vao!$C$11, 0)</f>
        <v/>
      </c>
      <c r="Y38" s="95">
        <f>W38-X38</f>
        <v/>
      </c>
      <c r="Z38" s="95">
        <f>U38-X38</f>
        <v/>
      </c>
      <c r="AA38" s="95">
        <f>AA37+Z38</f>
        <v/>
      </c>
      <c r="AB38" s="95">
        <f>Z38*F38</f>
        <v/>
      </c>
      <c r="AC38" s="95">
        <f>Gia_dinh_Dau_vao!$C$24*C38*D38</f>
        <v/>
      </c>
      <c r="AD38" s="95">
        <f>AC38*Gia_dinh_Dau_vao!$C$17</f>
        <v/>
      </c>
      <c r="AE38" s="95">
        <f>Gia_dinh_Dau_vao!$F$40*E38</f>
        <v/>
      </c>
      <c r="AF38" s="95">
        <f>AC38-AD38-AE38</f>
        <v/>
      </c>
      <c r="AG38" s="95">
        <f>IF(A38&lt;=60, CAPEX_Dau_tu!$G$32/60, 0)</f>
        <v/>
      </c>
      <c r="AH38" s="95">
        <f>AF38-AG38</f>
        <v/>
      </c>
      <c r="AI38" s="95">
        <f>IF(AH38&gt;0, AH38*Gia_dinh_Dau_vao!$C$11, 0)</f>
        <v/>
      </c>
      <c r="AJ38" s="95">
        <f>AH38-AI38</f>
        <v/>
      </c>
      <c r="AK38" s="95">
        <f>AF38-AI38</f>
        <v/>
      </c>
      <c r="AL38" s="95">
        <f>AL37+AK38</f>
        <v/>
      </c>
      <c r="AM38" s="95">
        <f>AK38*F38</f>
        <v/>
      </c>
    </row>
    <row r="39" ht="20.1" customHeight="1" s="69">
      <c r="A39" s="19" t="n">
        <v>34</v>
      </c>
      <c r="B39" s="19">
        <f>INT((A39-1)/12)+1</f>
        <v/>
      </c>
      <c r="C39" s="111">
        <f>Gia_dinh_Dau_vao!$G$44</f>
        <v/>
      </c>
      <c r="D39" s="112">
        <f>(1+Gia_dinh_Dau_vao!$C$10)^(B39-1)</f>
        <v/>
      </c>
      <c r="E39" s="112">
        <f>(1+Gia_dinh_Dau_vao!$C$9)^(B39-1)</f>
        <v/>
      </c>
      <c r="F39" s="112">
        <f>1/(1+Gia_dinh_Dau_vao!$C$12)^(A39/12)</f>
        <v/>
      </c>
      <c r="G39" s="95">
        <f>Gia_dinh_Dau_vao!$C$22*C39*D39</f>
        <v/>
      </c>
      <c r="H39" s="95">
        <f>G39*Gia_dinh_Dau_vao!$C$17</f>
        <v/>
      </c>
      <c r="I39" s="95">
        <f>Gia_dinh_Dau_vao!$F$40*E39</f>
        <v/>
      </c>
      <c r="J39" s="95">
        <f>G39-H39-I39</f>
        <v/>
      </c>
      <c r="K39" s="95">
        <f>IF(A39&lt;=60, CAPEX_Dau_tu!$G$32/60, 0)</f>
        <v/>
      </c>
      <c r="L39" s="95">
        <f>J39-K39</f>
        <v/>
      </c>
      <c r="M39" s="95">
        <f>IF(L39&gt;0, L39*Gia_dinh_Dau_vao!$C$11, 0)</f>
        <v/>
      </c>
      <c r="N39" s="95">
        <f>L39-M39</f>
        <v/>
      </c>
      <c r="O39" s="95">
        <f>J39-M39</f>
        <v/>
      </c>
      <c r="P39" s="95">
        <f>P38+O39</f>
        <v/>
      </c>
      <c r="Q39" s="95">
        <f>O39*F39</f>
        <v/>
      </c>
      <c r="R39" s="95">
        <f>Gia_dinh_Dau_vao!$C$23*C39*D39</f>
        <v/>
      </c>
      <c r="S39" s="95">
        <f>R39*Gia_dinh_Dau_vao!$C$17</f>
        <v/>
      </c>
      <c r="T39" s="95">
        <f>Gia_dinh_Dau_vao!$F$40*E39</f>
        <v/>
      </c>
      <c r="U39" s="95">
        <f>R39-S39-T39</f>
        <v/>
      </c>
      <c r="V39" s="95">
        <f>IF(A39&lt;=60, CAPEX_Dau_tu!$G$32/60, 0)</f>
        <v/>
      </c>
      <c r="W39" s="95">
        <f>U39-V39</f>
        <v/>
      </c>
      <c r="X39" s="95">
        <f>IF(W39&gt;0, W39*Gia_dinh_Dau_vao!$C$11, 0)</f>
        <v/>
      </c>
      <c r="Y39" s="95">
        <f>W39-X39</f>
        <v/>
      </c>
      <c r="Z39" s="95">
        <f>U39-X39</f>
        <v/>
      </c>
      <c r="AA39" s="95">
        <f>AA38+Z39</f>
        <v/>
      </c>
      <c r="AB39" s="95">
        <f>Z39*F39</f>
        <v/>
      </c>
      <c r="AC39" s="95">
        <f>Gia_dinh_Dau_vao!$C$24*C39*D39</f>
        <v/>
      </c>
      <c r="AD39" s="95">
        <f>AC39*Gia_dinh_Dau_vao!$C$17</f>
        <v/>
      </c>
      <c r="AE39" s="95">
        <f>Gia_dinh_Dau_vao!$F$40*E39</f>
        <v/>
      </c>
      <c r="AF39" s="95">
        <f>AC39-AD39-AE39</f>
        <v/>
      </c>
      <c r="AG39" s="95">
        <f>IF(A39&lt;=60, CAPEX_Dau_tu!$G$32/60, 0)</f>
        <v/>
      </c>
      <c r="AH39" s="95">
        <f>AF39-AG39</f>
        <v/>
      </c>
      <c r="AI39" s="95">
        <f>IF(AH39&gt;0, AH39*Gia_dinh_Dau_vao!$C$11, 0)</f>
        <v/>
      </c>
      <c r="AJ39" s="95">
        <f>AH39-AI39</f>
        <v/>
      </c>
      <c r="AK39" s="95">
        <f>AF39-AI39</f>
        <v/>
      </c>
      <c r="AL39" s="95">
        <f>AL38+AK39</f>
        <v/>
      </c>
      <c r="AM39" s="95">
        <f>AK39*F39</f>
        <v/>
      </c>
    </row>
    <row r="40" ht="20.1" customHeight="1" s="69">
      <c r="A40" s="19" t="n">
        <v>35</v>
      </c>
      <c r="B40" s="19">
        <f>INT((A40-1)/12)+1</f>
        <v/>
      </c>
      <c r="C40" s="111">
        <f>Gia_dinh_Dau_vao!$G$44</f>
        <v/>
      </c>
      <c r="D40" s="112">
        <f>(1+Gia_dinh_Dau_vao!$C$10)^(B40-1)</f>
        <v/>
      </c>
      <c r="E40" s="112">
        <f>(1+Gia_dinh_Dau_vao!$C$9)^(B40-1)</f>
        <v/>
      </c>
      <c r="F40" s="112">
        <f>1/(1+Gia_dinh_Dau_vao!$C$12)^(A40/12)</f>
        <v/>
      </c>
      <c r="G40" s="95">
        <f>Gia_dinh_Dau_vao!$C$22*C40*D40</f>
        <v/>
      </c>
      <c r="H40" s="95">
        <f>G40*Gia_dinh_Dau_vao!$C$17</f>
        <v/>
      </c>
      <c r="I40" s="95">
        <f>Gia_dinh_Dau_vao!$F$40*E40</f>
        <v/>
      </c>
      <c r="J40" s="95">
        <f>G40-H40-I40</f>
        <v/>
      </c>
      <c r="K40" s="95">
        <f>IF(A40&lt;=60, CAPEX_Dau_tu!$G$32/60, 0)</f>
        <v/>
      </c>
      <c r="L40" s="95">
        <f>J40-K40</f>
        <v/>
      </c>
      <c r="M40" s="95">
        <f>IF(L40&gt;0, L40*Gia_dinh_Dau_vao!$C$11, 0)</f>
        <v/>
      </c>
      <c r="N40" s="95">
        <f>L40-M40</f>
        <v/>
      </c>
      <c r="O40" s="95">
        <f>J40-M40</f>
        <v/>
      </c>
      <c r="P40" s="95">
        <f>P39+O40</f>
        <v/>
      </c>
      <c r="Q40" s="95">
        <f>O40*F40</f>
        <v/>
      </c>
      <c r="R40" s="95">
        <f>Gia_dinh_Dau_vao!$C$23*C40*D40</f>
        <v/>
      </c>
      <c r="S40" s="95">
        <f>R40*Gia_dinh_Dau_vao!$C$17</f>
        <v/>
      </c>
      <c r="T40" s="95">
        <f>Gia_dinh_Dau_vao!$F$40*E40</f>
        <v/>
      </c>
      <c r="U40" s="95">
        <f>R40-S40-T40</f>
        <v/>
      </c>
      <c r="V40" s="95">
        <f>IF(A40&lt;=60, CAPEX_Dau_tu!$G$32/60, 0)</f>
        <v/>
      </c>
      <c r="W40" s="95">
        <f>U40-V40</f>
        <v/>
      </c>
      <c r="X40" s="95">
        <f>IF(W40&gt;0, W40*Gia_dinh_Dau_vao!$C$11, 0)</f>
        <v/>
      </c>
      <c r="Y40" s="95">
        <f>W40-X40</f>
        <v/>
      </c>
      <c r="Z40" s="95">
        <f>U40-X40</f>
        <v/>
      </c>
      <c r="AA40" s="95">
        <f>AA39+Z40</f>
        <v/>
      </c>
      <c r="AB40" s="95">
        <f>Z40*F40</f>
        <v/>
      </c>
      <c r="AC40" s="95">
        <f>Gia_dinh_Dau_vao!$C$24*C40*D40</f>
        <v/>
      </c>
      <c r="AD40" s="95">
        <f>AC40*Gia_dinh_Dau_vao!$C$17</f>
        <v/>
      </c>
      <c r="AE40" s="95">
        <f>Gia_dinh_Dau_vao!$F$40*E40</f>
        <v/>
      </c>
      <c r="AF40" s="95">
        <f>AC40-AD40-AE40</f>
        <v/>
      </c>
      <c r="AG40" s="95">
        <f>IF(A40&lt;=60, CAPEX_Dau_tu!$G$32/60, 0)</f>
        <v/>
      </c>
      <c r="AH40" s="95">
        <f>AF40-AG40</f>
        <v/>
      </c>
      <c r="AI40" s="95">
        <f>IF(AH40&gt;0, AH40*Gia_dinh_Dau_vao!$C$11, 0)</f>
        <v/>
      </c>
      <c r="AJ40" s="95">
        <f>AH40-AI40</f>
        <v/>
      </c>
      <c r="AK40" s="95">
        <f>AF40-AI40</f>
        <v/>
      </c>
      <c r="AL40" s="95">
        <f>AL39+AK40</f>
        <v/>
      </c>
      <c r="AM40" s="95">
        <f>AK40*F40</f>
        <v/>
      </c>
    </row>
    <row r="41" ht="20.1" customHeight="1" s="69">
      <c r="A41" s="19" t="n">
        <v>36</v>
      </c>
      <c r="B41" s="19">
        <f>INT((A41-1)/12)+1</f>
        <v/>
      </c>
      <c r="C41" s="111">
        <f>Gia_dinh_Dau_vao!$G$44</f>
        <v/>
      </c>
      <c r="D41" s="112">
        <f>(1+Gia_dinh_Dau_vao!$C$10)^(B41-1)</f>
        <v/>
      </c>
      <c r="E41" s="112">
        <f>(1+Gia_dinh_Dau_vao!$C$9)^(B41-1)</f>
        <v/>
      </c>
      <c r="F41" s="112">
        <f>1/(1+Gia_dinh_Dau_vao!$C$12)^(A41/12)</f>
        <v/>
      </c>
      <c r="G41" s="95">
        <f>Gia_dinh_Dau_vao!$C$22*C41*D41</f>
        <v/>
      </c>
      <c r="H41" s="95">
        <f>G41*Gia_dinh_Dau_vao!$C$17</f>
        <v/>
      </c>
      <c r="I41" s="95">
        <f>Gia_dinh_Dau_vao!$F$40*E41</f>
        <v/>
      </c>
      <c r="J41" s="95">
        <f>G41-H41-I41</f>
        <v/>
      </c>
      <c r="K41" s="95">
        <f>IF(A41&lt;=60, CAPEX_Dau_tu!$G$32/60, 0)</f>
        <v/>
      </c>
      <c r="L41" s="95">
        <f>J41-K41</f>
        <v/>
      </c>
      <c r="M41" s="95">
        <f>IF(L41&gt;0, L41*Gia_dinh_Dau_vao!$C$11, 0)</f>
        <v/>
      </c>
      <c r="N41" s="95">
        <f>L41-M41</f>
        <v/>
      </c>
      <c r="O41" s="95">
        <f>J41-M41</f>
        <v/>
      </c>
      <c r="P41" s="95">
        <f>P40+O41</f>
        <v/>
      </c>
      <c r="Q41" s="95">
        <f>O41*F41</f>
        <v/>
      </c>
      <c r="R41" s="95">
        <f>Gia_dinh_Dau_vao!$C$23*C41*D41</f>
        <v/>
      </c>
      <c r="S41" s="95">
        <f>R41*Gia_dinh_Dau_vao!$C$17</f>
        <v/>
      </c>
      <c r="T41" s="95">
        <f>Gia_dinh_Dau_vao!$F$40*E41</f>
        <v/>
      </c>
      <c r="U41" s="95">
        <f>R41-S41-T41</f>
        <v/>
      </c>
      <c r="V41" s="95">
        <f>IF(A41&lt;=60, CAPEX_Dau_tu!$G$32/60, 0)</f>
        <v/>
      </c>
      <c r="W41" s="95">
        <f>U41-V41</f>
        <v/>
      </c>
      <c r="X41" s="95">
        <f>IF(W41&gt;0, W41*Gia_dinh_Dau_vao!$C$11, 0)</f>
        <v/>
      </c>
      <c r="Y41" s="95">
        <f>W41-X41</f>
        <v/>
      </c>
      <c r="Z41" s="95">
        <f>U41-X41</f>
        <v/>
      </c>
      <c r="AA41" s="95">
        <f>AA40+Z41</f>
        <v/>
      </c>
      <c r="AB41" s="95">
        <f>Z41*F41</f>
        <v/>
      </c>
      <c r="AC41" s="95">
        <f>Gia_dinh_Dau_vao!$C$24*C41*D41</f>
        <v/>
      </c>
      <c r="AD41" s="95">
        <f>AC41*Gia_dinh_Dau_vao!$C$17</f>
        <v/>
      </c>
      <c r="AE41" s="95">
        <f>Gia_dinh_Dau_vao!$F$40*E41</f>
        <v/>
      </c>
      <c r="AF41" s="95">
        <f>AC41-AD41-AE41</f>
        <v/>
      </c>
      <c r="AG41" s="95">
        <f>IF(A41&lt;=60, CAPEX_Dau_tu!$G$32/60, 0)</f>
        <v/>
      </c>
      <c r="AH41" s="95">
        <f>AF41-AG41</f>
        <v/>
      </c>
      <c r="AI41" s="95">
        <f>IF(AH41&gt;0, AH41*Gia_dinh_Dau_vao!$C$11, 0)</f>
        <v/>
      </c>
      <c r="AJ41" s="95">
        <f>AH41-AI41</f>
        <v/>
      </c>
      <c r="AK41" s="95">
        <f>AF41-AI41</f>
        <v/>
      </c>
      <c r="AL41" s="95">
        <f>AL40+AK41</f>
        <v/>
      </c>
      <c r="AM41" s="95">
        <f>AK41*F41</f>
        <v/>
      </c>
    </row>
    <row r="42" ht="20.1" customHeight="1" s="69">
      <c r="A42" s="19" t="n">
        <v>37</v>
      </c>
      <c r="B42" s="19">
        <f>INT((A42-1)/12)+1</f>
        <v/>
      </c>
      <c r="C42" s="111">
        <f>Gia_dinh_Dau_vao!$G$44</f>
        <v/>
      </c>
      <c r="D42" s="112">
        <f>(1+Gia_dinh_Dau_vao!$C$10)^(B42-1)</f>
        <v/>
      </c>
      <c r="E42" s="112">
        <f>(1+Gia_dinh_Dau_vao!$C$9)^(B42-1)</f>
        <v/>
      </c>
      <c r="F42" s="112">
        <f>1/(1+Gia_dinh_Dau_vao!$C$12)^(A42/12)</f>
        <v/>
      </c>
      <c r="G42" s="95">
        <f>Gia_dinh_Dau_vao!$C$22*C42*D42</f>
        <v/>
      </c>
      <c r="H42" s="95">
        <f>G42*Gia_dinh_Dau_vao!$C$17</f>
        <v/>
      </c>
      <c r="I42" s="95">
        <f>Gia_dinh_Dau_vao!$F$40*E42</f>
        <v/>
      </c>
      <c r="J42" s="95">
        <f>G42-H42-I42</f>
        <v/>
      </c>
      <c r="K42" s="95">
        <f>IF(A42&lt;=60, CAPEX_Dau_tu!$G$32/60, 0)</f>
        <v/>
      </c>
      <c r="L42" s="95">
        <f>J42-K42</f>
        <v/>
      </c>
      <c r="M42" s="95">
        <f>IF(L42&gt;0, L42*Gia_dinh_Dau_vao!$C$11, 0)</f>
        <v/>
      </c>
      <c r="N42" s="95">
        <f>L42-M42</f>
        <v/>
      </c>
      <c r="O42" s="95">
        <f>J42-M42</f>
        <v/>
      </c>
      <c r="P42" s="95">
        <f>P41+O42</f>
        <v/>
      </c>
      <c r="Q42" s="95">
        <f>O42*F42</f>
        <v/>
      </c>
      <c r="R42" s="95">
        <f>Gia_dinh_Dau_vao!$C$23*C42*D42</f>
        <v/>
      </c>
      <c r="S42" s="95">
        <f>R42*Gia_dinh_Dau_vao!$C$17</f>
        <v/>
      </c>
      <c r="T42" s="95">
        <f>Gia_dinh_Dau_vao!$F$40*E42</f>
        <v/>
      </c>
      <c r="U42" s="95">
        <f>R42-S42-T42</f>
        <v/>
      </c>
      <c r="V42" s="95">
        <f>IF(A42&lt;=60, CAPEX_Dau_tu!$G$32/60, 0)</f>
        <v/>
      </c>
      <c r="W42" s="95">
        <f>U42-V42</f>
        <v/>
      </c>
      <c r="X42" s="95">
        <f>IF(W42&gt;0, W42*Gia_dinh_Dau_vao!$C$11, 0)</f>
        <v/>
      </c>
      <c r="Y42" s="95">
        <f>W42-X42</f>
        <v/>
      </c>
      <c r="Z42" s="95">
        <f>U42-X42</f>
        <v/>
      </c>
      <c r="AA42" s="95">
        <f>AA41+Z42</f>
        <v/>
      </c>
      <c r="AB42" s="95">
        <f>Z42*F42</f>
        <v/>
      </c>
      <c r="AC42" s="95">
        <f>Gia_dinh_Dau_vao!$C$24*C42*D42</f>
        <v/>
      </c>
      <c r="AD42" s="95">
        <f>AC42*Gia_dinh_Dau_vao!$C$17</f>
        <v/>
      </c>
      <c r="AE42" s="95">
        <f>Gia_dinh_Dau_vao!$F$40*E42</f>
        <v/>
      </c>
      <c r="AF42" s="95">
        <f>AC42-AD42-AE42</f>
        <v/>
      </c>
      <c r="AG42" s="95">
        <f>IF(A42&lt;=60, CAPEX_Dau_tu!$G$32/60, 0)</f>
        <v/>
      </c>
      <c r="AH42" s="95">
        <f>AF42-AG42</f>
        <v/>
      </c>
      <c r="AI42" s="95">
        <f>IF(AH42&gt;0, AH42*Gia_dinh_Dau_vao!$C$11, 0)</f>
        <v/>
      </c>
      <c r="AJ42" s="95">
        <f>AH42-AI42</f>
        <v/>
      </c>
      <c r="AK42" s="95">
        <f>AF42-AI42</f>
        <v/>
      </c>
      <c r="AL42" s="95">
        <f>AL41+AK42</f>
        <v/>
      </c>
      <c r="AM42" s="95">
        <f>AK42*F42</f>
        <v/>
      </c>
    </row>
    <row r="43" ht="20.1" customHeight="1" s="69">
      <c r="A43" s="19" t="n">
        <v>38</v>
      </c>
      <c r="B43" s="19">
        <f>INT((A43-1)/12)+1</f>
        <v/>
      </c>
      <c r="C43" s="111">
        <f>Gia_dinh_Dau_vao!$G$44</f>
        <v/>
      </c>
      <c r="D43" s="112">
        <f>(1+Gia_dinh_Dau_vao!$C$10)^(B43-1)</f>
        <v/>
      </c>
      <c r="E43" s="112">
        <f>(1+Gia_dinh_Dau_vao!$C$9)^(B43-1)</f>
        <v/>
      </c>
      <c r="F43" s="112">
        <f>1/(1+Gia_dinh_Dau_vao!$C$12)^(A43/12)</f>
        <v/>
      </c>
      <c r="G43" s="95">
        <f>Gia_dinh_Dau_vao!$C$22*C43*D43</f>
        <v/>
      </c>
      <c r="H43" s="95">
        <f>G43*Gia_dinh_Dau_vao!$C$17</f>
        <v/>
      </c>
      <c r="I43" s="95">
        <f>Gia_dinh_Dau_vao!$F$40*E43</f>
        <v/>
      </c>
      <c r="J43" s="95">
        <f>G43-H43-I43</f>
        <v/>
      </c>
      <c r="K43" s="95">
        <f>IF(A43&lt;=60, CAPEX_Dau_tu!$G$32/60, 0)</f>
        <v/>
      </c>
      <c r="L43" s="95">
        <f>J43-K43</f>
        <v/>
      </c>
      <c r="M43" s="95">
        <f>IF(L43&gt;0, L43*Gia_dinh_Dau_vao!$C$11, 0)</f>
        <v/>
      </c>
      <c r="N43" s="95">
        <f>L43-M43</f>
        <v/>
      </c>
      <c r="O43" s="95">
        <f>J43-M43</f>
        <v/>
      </c>
      <c r="P43" s="95">
        <f>P42+O43</f>
        <v/>
      </c>
      <c r="Q43" s="95">
        <f>O43*F43</f>
        <v/>
      </c>
      <c r="R43" s="95">
        <f>Gia_dinh_Dau_vao!$C$23*C43*D43</f>
        <v/>
      </c>
      <c r="S43" s="95">
        <f>R43*Gia_dinh_Dau_vao!$C$17</f>
        <v/>
      </c>
      <c r="T43" s="95">
        <f>Gia_dinh_Dau_vao!$F$40*E43</f>
        <v/>
      </c>
      <c r="U43" s="95">
        <f>R43-S43-T43</f>
        <v/>
      </c>
      <c r="V43" s="95">
        <f>IF(A43&lt;=60, CAPEX_Dau_tu!$G$32/60, 0)</f>
        <v/>
      </c>
      <c r="W43" s="95">
        <f>U43-V43</f>
        <v/>
      </c>
      <c r="X43" s="95">
        <f>IF(W43&gt;0, W43*Gia_dinh_Dau_vao!$C$11, 0)</f>
        <v/>
      </c>
      <c r="Y43" s="95">
        <f>W43-X43</f>
        <v/>
      </c>
      <c r="Z43" s="95">
        <f>U43-X43</f>
        <v/>
      </c>
      <c r="AA43" s="95">
        <f>AA42+Z43</f>
        <v/>
      </c>
      <c r="AB43" s="95">
        <f>Z43*F43</f>
        <v/>
      </c>
      <c r="AC43" s="95">
        <f>Gia_dinh_Dau_vao!$C$24*C43*D43</f>
        <v/>
      </c>
      <c r="AD43" s="95">
        <f>AC43*Gia_dinh_Dau_vao!$C$17</f>
        <v/>
      </c>
      <c r="AE43" s="95">
        <f>Gia_dinh_Dau_vao!$F$40*E43</f>
        <v/>
      </c>
      <c r="AF43" s="95">
        <f>AC43-AD43-AE43</f>
        <v/>
      </c>
      <c r="AG43" s="95">
        <f>IF(A43&lt;=60, CAPEX_Dau_tu!$G$32/60, 0)</f>
        <v/>
      </c>
      <c r="AH43" s="95">
        <f>AF43-AG43</f>
        <v/>
      </c>
      <c r="AI43" s="95">
        <f>IF(AH43&gt;0, AH43*Gia_dinh_Dau_vao!$C$11, 0)</f>
        <v/>
      </c>
      <c r="AJ43" s="95">
        <f>AH43-AI43</f>
        <v/>
      </c>
      <c r="AK43" s="95">
        <f>AF43-AI43</f>
        <v/>
      </c>
      <c r="AL43" s="95">
        <f>AL42+AK43</f>
        <v/>
      </c>
      <c r="AM43" s="95">
        <f>AK43*F43</f>
        <v/>
      </c>
    </row>
    <row r="44" ht="20.1" customHeight="1" s="69">
      <c r="A44" s="19" t="n">
        <v>39</v>
      </c>
      <c r="B44" s="19">
        <f>INT((A44-1)/12)+1</f>
        <v/>
      </c>
      <c r="C44" s="111">
        <f>Gia_dinh_Dau_vao!$G$44</f>
        <v/>
      </c>
      <c r="D44" s="112">
        <f>(1+Gia_dinh_Dau_vao!$C$10)^(B44-1)</f>
        <v/>
      </c>
      <c r="E44" s="112">
        <f>(1+Gia_dinh_Dau_vao!$C$9)^(B44-1)</f>
        <v/>
      </c>
      <c r="F44" s="112">
        <f>1/(1+Gia_dinh_Dau_vao!$C$12)^(A44/12)</f>
        <v/>
      </c>
      <c r="G44" s="95">
        <f>Gia_dinh_Dau_vao!$C$22*C44*D44</f>
        <v/>
      </c>
      <c r="H44" s="95">
        <f>G44*Gia_dinh_Dau_vao!$C$17</f>
        <v/>
      </c>
      <c r="I44" s="95">
        <f>Gia_dinh_Dau_vao!$F$40*E44</f>
        <v/>
      </c>
      <c r="J44" s="95">
        <f>G44-H44-I44</f>
        <v/>
      </c>
      <c r="K44" s="95">
        <f>IF(A44&lt;=60, CAPEX_Dau_tu!$G$32/60, 0)</f>
        <v/>
      </c>
      <c r="L44" s="95">
        <f>J44-K44</f>
        <v/>
      </c>
      <c r="M44" s="95">
        <f>IF(L44&gt;0, L44*Gia_dinh_Dau_vao!$C$11, 0)</f>
        <v/>
      </c>
      <c r="N44" s="95">
        <f>L44-M44</f>
        <v/>
      </c>
      <c r="O44" s="95">
        <f>J44-M44</f>
        <v/>
      </c>
      <c r="P44" s="95">
        <f>P43+O44</f>
        <v/>
      </c>
      <c r="Q44" s="95">
        <f>O44*F44</f>
        <v/>
      </c>
      <c r="R44" s="95">
        <f>Gia_dinh_Dau_vao!$C$23*C44*D44</f>
        <v/>
      </c>
      <c r="S44" s="95">
        <f>R44*Gia_dinh_Dau_vao!$C$17</f>
        <v/>
      </c>
      <c r="T44" s="95">
        <f>Gia_dinh_Dau_vao!$F$40*E44</f>
        <v/>
      </c>
      <c r="U44" s="95">
        <f>R44-S44-T44</f>
        <v/>
      </c>
      <c r="V44" s="95">
        <f>IF(A44&lt;=60, CAPEX_Dau_tu!$G$32/60, 0)</f>
        <v/>
      </c>
      <c r="W44" s="95">
        <f>U44-V44</f>
        <v/>
      </c>
      <c r="X44" s="95">
        <f>IF(W44&gt;0, W44*Gia_dinh_Dau_vao!$C$11, 0)</f>
        <v/>
      </c>
      <c r="Y44" s="95">
        <f>W44-X44</f>
        <v/>
      </c>
      <c r="Z44" s="95">
        <f>U44-X44</f>
        <v/>
      </c>
      <c r="AA44" s="95">
        <f>AA43+Z44</f>
        <v/>
      </c>
      <c r="AB44" s="95">
        <f>Z44*F44</f>
        <v/>
      </c>
      <c r="AC44" s="95">
        <f>Gia_dinh_Dau_vao!$C$24*C44*D44</f>
        <v/>
      </c>
      <c r="AD44" s="95">
        <f>AC44*Gia_dinh_Dau_vao!$C$17</f>
        <v/>
      </c>
      <c r="AE44" s="95">
        <f>Gia_dinh_Dau_vao!$F$40*E44</f>
        <v/>
      </c>
      <c r="AF44" s="95">
        <f>AC44-AD44-AE44</f>
        <v/>
      </c>
      <c r="AG44" s="95">
        <f>IF(A44&lt;=60, CAPEX_Dau_tu!$G$32/60, 0)</f>
        <v/>
      </c>
      <c r="AH44" s="95">
        <f>AF44-AG44</f>
        <v/>
      </c>
      <c r="AI44" s="95">
        <f>IF(AH44&gt;0, AH44*Gia_dinh_Dau_vao!$C$11, 0)</f>
        <v/>
      </c>
      <c r="AJ44" s="95">
        <f>AH44-AI44</f>
        <v/>
      </c>
      <c r="AK44" s="95">
        <f>AF44-AI44</f>
        <v/>
      </c>
      <c r="AL44" s="95">
        <f>AL43+AK44</f>
        <v/>
      </c>
      <c r="AM44" s="95">
        <f>AK44*F44</f>
        <v/>
      </c>
    </row>
    <row r="45" ht="20.1" customHeight="1" s="69">
      <c r="A45" s="19" t="n">
        <v>40</v>
      </c>
      <c r="B45" s="19">
        <f>INT((A45-1)/12)+1</f>
        <v/>
      </c>
      <c r="C45" s="111">
        <f>Gia_dinh_Dau_vao!$G$44</f>
        <v/>
      </c>
      <c r="D45" s="112">
        <f>(1+Gia_dinh_Dau_vao!$C$10)^(B45-1)</f>
        <v/>
      </c>
      <c r="E45" s="112">
        <f>(1+Gia_dinh_Dau_vao!$C$9)^(B45-1)</f>
        <v/>
      </c>
      <c r="F45" s="112">
        <f>1/(1+Gia_dinh_Dau_vao!$C$12)^(A45/12)</f>
        <v/>
      </c>
      <c r="G45" s="95">
        <f>Gia_dinh_Dau_vao!$C$22*C45*D45</f>
        <v/>
      </c>
      <c r="H45" s="95">
        <f>G45*Gia_dinh_Dau_vao!$C$17</f>
        <v/>
      </c>
      <c r="I45" s="95">
        <f>Gia_dinh_Dau_vao!$F$40*E45</f>
        <v/>
      </c>
      <c r="J45" s="95">
        <f>G45-H45-I45</f>
        <v/>
      </c>
      <c r="K45" s="95">
        <f>IF(A45&lt;=60, CAPEX_Dau_tu!$G$32/60, 0)</f>
        <v/>
      </c>
      <c r="L45" s="95">
        <f>J45-K45</f>
        <v/>
      </c>
      <c r="M45" s="95">
        <f>IF(L45&gt;0, L45*Gia_dinh_Dau_vao!$C$11, 0)</f>
        <v/>
      </c>
      <c r="N45" s="95">
        <f>L45-M45</f>
        <v/>
      </c>
      <c r="O45" s="95">
        <f>J45-M45</f>
        <v/>
      </c>
      <c r="P45" s="95">
        <f>P44+O45</f>
        <v/>
      </c>
      <c r="Q45" s="95">
        <f>O45*F45</f>
        <v/>
      </c>
      <c r="R45" s="95">
        <f>Gia_dinh_Dau_vao!$C$23*C45*D45</f>
        <v/>
      </c>
      <c r="S45" s="95">
        <f>R45*Gia_dinh_Dau_vao!$C$17</f>
        <v/>
      </c>
      <c r="T45" s="95">
        <f>Gia_dinh_Dau_vao!$F$40*E45</f>
        <v/>
      </c>
      <c r="U45" s="95">
        <f>R45-S45-T45</f>
        <v/>
      </c>
      <c r="V45" s="95">
        <f>IF(A45&lt;=60, CAPEX_Dau_tu!$G$32/60, 0)</f>
        <v/>
      </c>
      <c r="W45" s="95">
        <f>U45-V45</f>
        <v/>
      </c>
      <c r="X45" s="95">
        <f>IF(W45&gt;0, W45*Gia_dinh_Dau_vao!$C$11, 0)</f>
        <v/>
      </c>
      <c r="Y45" s="95">
        <f>W45-X45</f>
        <v/>
      </c>
      <c r="Z45" s="95">
        <f>U45-X45</f>
        <v/>
      </c>
      <c r="AA45" s="95">
        <f>AA44+Z45</f>
        <v/>
      </c>
      <c r="AB45" s="95">
        <f>Z45*F45</f>
        <v/>
      </c>
      <c r="AC45" s="95">
        <f>Gia_dinh_Dau_vao!$C$24*C45*D45</f>
        <v/>
      </c>
      <c r="AD45" s="95">
        <f>AC45*Gia_dinh_Dau_vao!$C$17</f>
        <v/>
      </c>
      <c r="AE45" s="95">
        <f>Gia_dinh_Dau_vao!$F$40*E45</f>
        <v/>
      </c>
      <c r="AF45" s="95">
        <f>AC45-AD45-AE45</f>
        <v/>
      </c>
      <c r="AG45" s="95">
        <f>IF(A45&lt;=60, CAPEX_Dau_tu!$G$32/60, 0)</f>
        <v/>
      </c>
      <c r="AH45" s="95">
        <f>AF45-AG45</f>
        <v/>
      </c>
      <c r="AI45" s="95">
        <f>IF(AH45&gt;0, AH45*Gia_dinh_Dau_vao!$C$11, 0)</f>
        <v/>
      </c>
      <c r="AJ45" s="95">
        <f>AH45-AI45</f>
        <v/>
      </c>
      <c r="AK45" s="95">
        <f>AF45-AI45</f>
        <v/>
      </c>
      <c r="AL45" s="95">
        <f>AL44+AK45</f>
        <v/>
      </c>
      <c r="AM45" s="95">
        <f>AK45*F45</f>
        <v/>
      </c>
    </row>
    <row r="46" ht="20.1" customHeight="1" s="69">
      <c r="A46" s="19" t="n">
        <v>41</v>
      </c>
      <c r="B46" s="19">
        <f>INT((A46-1)/12)+1</f>
        <v/>
      </c>
      <c r="C46" s="111">
        <f>Gia_dinh_Dau_vao!$G$44</f>
        <v/>
      </c>
      <c r="D46" s="112">
        <f>(1+Gia_dinh_Dau_vao!$C$10)^(B46-1)</f>
        <v/>
      </c>
      <c r="E46" s="112">
        <f>(1+Gia_dinh_Dau_vao!$C$9)^(B46-1)</f>
        <v/>
      </c>
      <c r="F46" s="112">
        <f>1/(1+Gia_dinh_Dau_vao!$C$12)^(A46/12)</f>
        <v/>
      </c>
      <c r="G46" s="95">
        <f>Gia_dinh_Dau_vao!$C$22*C46*D46</f>
        <v/>
      </c>
      <c r="H46" s="95">
        <f>G46*Gia_dinh_Dau_vao!$C$17</f>
        <v/>
      </c>
      <c r="I46" s="95">
        <f>Gia_dinh_Dau_vao!$F$40*E46</f>
        <v/>
      </c>
      <c r="J46" s="95">
        <f>G46-H46-I46</f>
        <v/>
      </c>
      <c r="K46" s="95">
        <f>IF(A46&lt;=60, CAPEX_Dau_tu!$G$32/60, 0)</f>
        <v/>
      </c>
      <c r="L46" s="95">
        <f>J46-K46</f>
        <v/>
      </c>
      <c r="M46" s="95">
        <f>IF(L46&gt;0, L46*Gia_dinh_Dau_vao!$C$11, 0)</f>
        <v/>
      </c>
      <c r="N46" s="95">
        <f>L46-M46</f>
        <v/>
      </c>
      <c r="O46" s="95">
        <f>J46-M46</f>
        <v/>
      </c>
      <c r="P46" s="95">
        <f>P45+O46</f>
        <v/>
      </c>
      <c r="Q46" s="95">
        <f>O46*F46</f>
        <v/>
      </c>
      <c r="R46" s="95">
        <f>Gia_dinh_Dau_vao!$C$23*C46*D46</f>
        <v/>
      </c>
      <c r="S46" s="95">
        <f>R46*Gia_dinh_Dau_vao!$C$17</f>
        <v/>
      </c>
      <c r="T46" s="95">
        <f>Gia_dinh_Dau_vao!$F$40*E46</f>
        <v/>
      </c>
      <c r="U46" s="95">
        <f>R46-S46-T46</f>
        <v/>
      </c>
      <c r="V46" s="95">
        <f>IF(A46&lt;=60, CAPEX_Dau_tu!$G$32/60, 0)</f>
        <v/>
      </c>
      <c r="W46" s="95">
        <f>U46-V46</f>
        <v/>
      </c>
      <c r="X46" s="95">
        <f>IF(W46&gt;0, W46*Gia_dinh_Dau_vao!$C$11, 0)</f>
        <v/>
      </c>
      <c r="Y46" s="95">
        <f>W46-X46</f>
        <v/>
      </c>
      <c r="Z46" s="95">
        <f>U46-X46</f>
        <v/>
      </c>
      <c r="AA46" s="95">
        <f>AA45+Z46</f>
        <v/>
      </c>
      <c r="AB46" s="95">
        <f>Z46*F46</f>
        <v/>
      </c>
      <c r="AC46" s="95">
        <f>Gia_dinh_Dau_vao!$C$24*C46*D46</f>
        <v/>
      </c>
      <c r="AD46" s="95">
        <f>AC46*Gia_dinh_Dau_vao!$C$17</f>
        <v/>
      </c>
      <c r="AE46" s="95">
        <f>Gia_dinh_Dau_vao!$F$40*E46</f>
        <v/>
      </c>
      <c r="AF46" s="95">
        <f>AC46-AD46-AE46</f>
        <v/>
      </c>
      <c r="AG46" s="95">
        <f>IF(A46&lt;=60, CAPEX_Dau_tu!$G$32/60, 0)</f>
        <v/>
      </c>
      <c r="AH46" s="95">
        <f>AF46-AG46</f>
        <v/>
      </c>
      <c r="AI46" s="95">
        <f>IF(AH46&gt;0, AH46*Gia_dinh_Dau_vao!$C$11, 0)</f>
        <v/>
      </c>
      <c r="AJ46" s="95">
        <f>AH46-AI46</f>
        <v/>
      </c>
      <c r="AK46" s="95">
        <f>AF46-AI46</f>
        <v/>
      </c>
      <c r="AL46" s="95">
        <f>AL45+AK46</f>
        <v/>
      </c>
      <c r="AM46" s="95">
        <f>AK46*F46</f>
        <v/>
      </c>
    </row>
    <row r="47" ht="20.1" customHeight="1" s="69">
      <c r="A47" s="19" t="n">
        <v>42</v>
      </c>
      <c r="B47" s="19">
        <f>INT((A47-1)/12)+1</f>
        <v/>
      </c>
      <c r="C47" s="111">
        <f>Gia_dinh_Dau_vao!$G$44</f>
        <v/>
      </c>
      <c r="D47" s="112">
        <f>(1+Gia_dinh_Dau_vao!$C$10)^(B47-1)</f>
        <v/>
      </c>
      <c r="E47" s="112">
        <f>(1+Gia_dinh_Dau_vao!$C$9)^(B47-1)</f>
        <v/>
      </c>
      <c r="F47" s="112">
        <f>1/(1+Gia_dinh_Dau_vao!$C$12)^(A47/12)</f>
        <v/>
      </c>
      <c r="G47" s="95">
        <f>Gia_dinh_Dau_vao!$C$22*C47*D47</f>
        <v/>
      </c>
      <c r="H47" s="95">
        <f>G47*Gia_dinh_Dau_vao!$C$17</f>
        <v/>
      </c>
      <c r="I47" s="95">
        <f>Gia_dinh_Dau_vao!$F$40*E47</f>
        <v/>
      </c>
      <c r="J47" s="95">
        <f>G47-H47-I47</f>
        <v/>
      </c>
      <c r="K47" s="95">
        <f>IF(A47&lt;=60, CAPEX_Dau_tu!$G$32/60, 0)</f>
        <v/>
      </c>
      <c r="L47" s="95">
        <f>J47-K47</f>
        <v/>
      </c>
      <c r="M47" s="95">
        <f>IF(L47&gt;0, L47*Gia_dinh_Dau_vao!$C$11, 0)</f>
        <v/>
      </c>
      <c r="N47" s="95">
        <f>L47-M47</f>
        <v/>
      </c>
      <c r="O47" s="95">
        <f>J47-M47</f>
        <v/>
      </c>
      <c r="P47" s="95">
        <f>P46+O47</f>
        <v/>
      </c>
      <c r="Q47" s="95">
        <f>O47*F47</f>
        <v/>
      </c>
      <c r="R47" s="95">
        <f>Gia_dinh_Dau_vao!$C$23*C47*D47</f>
        <v/>
      </c>
      <c r="S47" s="95">
        <f>R47*Gia_dinh_Dau_vao!$C$17</f>
        <v/>
      </c>
      <c r="T47" s="95">
        <f>Gia_dinh_Dau_vao!$F$40*E47</f>
        <v/>
      </c>
      <c r="U47" s="95">
        <f>R47-S47-T47</f>
        <v/>
      </c>
      <c r="V47" s="95">
        <f>IF(A47&lt;=60, CAPEX_Dau_tu!$G$32/60, 0)</f>
        <v/>
      </c>
      <c r="W47" s="95">
        <f>U47-V47</f>
        <v/>
      </c>
      <c r="X47" s="95">
        <f>IF(W47&gt;0, W47*Gia_dinh_Dau_vao!$C$11, 0)</f>
        <v/>
      </c>
      <c r="Y47" s="95">
        <f>W47-X47</f>
        <v/>
      </c>
      <c r="Z47" s="95">
        <f>U47-X47</f>
        <v/>
      </c>
      <c r="AA47" s="95">
        <f>AA46+Z47</f>
        <v/>
      </c>
      <c r="AB47" s="95">
        <f>Z47*F47</f>
        <v/>
      </c>
      <c r="AC47" s="95">
        <f>Gia_dinh_Dau_vao!$C$24*C47*D47</f>
        <v/>
      </c>
      <c r="AD47" s="95">
        <f>AC47*Gia_dinh_Dau_vao!$C$17</f>
        <v/>
      </c>
      <c r="AE47" s="95">
        <f>Gia_dinh_Dau_vao!$F$40*E47</f>
        <v/>
      </c>
      <c r="AF47" s="95">
        <f>AC47-AD47-AE47</f>
        <v/>
      </c>
      <c r="AG47" s="95">
        <f>IF(A47&lt;=60, CAPEX_Dau_tu!$G$32/60, 0)</f>
        <v/>
      </c>
      <c r="AH47" s="95">
        <f>AF47-AG47</f>
        <v/>
      </c>
      <c r="AI47" s="95">
        <f>IF(AH47&gt;0, AH47*Gia_dinh_Dau_vao!$C$11, 0)</f>
        <v/>
      </c>
      <c r="AJ47" s="95">
        <f>AH47-AI47</f>
        <v/>
      </c>
      <c r="AK47" s="95">
        <f>AF47-AI47</f>
        <v/>
      </c>
      <c r="AL47" s="95">
        <f>AL46+AK47</f>
        <v/>
      </c>
      <c r="AM47" s="95">
        <f>AK47*F47</f>
        <v/>
      </c>
    </row>
    <row r="48" ht="20.1" customHeight="1" s="69">
      <c r="A48" s="19" t="n">
        <v>43</v>
      </c>
      <c r="B48" s="19">
        <f>INT((A48-1)/12)+1</f>
        <v/>
      </c>
      <c r="C48" s="111">
        <f>Gia_dinh_Dau_vao!$G$44</f>
        <v/>
      </c>
      <c r="D48" s="112">
        <f>(1+Gia_dinh_Dau_vao!$C$10)^(B48-1)</f>
        <v/>
      </c>
      <c r="E48" s="112">
        <f>(1+Gia_dinh_Dau_vao!$C$9)^(B48-1)</f>
        <v/>
      </c>
      <c r="F48" s="112">
        <f>1/(1+Gia_dinh_Dau_vao!$C$12)^(A48/12)</f>
        <v/>
      </c>
      <c r="G48" s="95">
        <f>Gia_dinh_Dau_vao!$C$22*C48*D48</f>
        <v/>
      </c>
      <c r="H48" s="95">
        <f>G48*Gia_dinh_Dau_vao!$C$17</f>
        <v/>
      </c>
      <c r="I48" s="95">
        <f>Gia_dinh_Dau_vao!$F$40*E48</f>
        <v/>
      </c>
      <c r="J48" s="95">
        <f>G48-H48-I48</f>
        <v/>
      </c>
      <c r="K48" s="95">
        <f>IF(A48&lt;=60, CAPEX_Dau_tu!$G$32/60, 0)</f>
        <v/>
      </c>
      <c r="L48" s="95">
        <f>J48-K48</f>
        <v/>
      </c>
      <c r="M48" s="95">
        <f>IF(L48&gt;0, L48*Gia_dinh_Dau_vao!$C$11, 0)</f>
        <v/>
      </c>
      <c r="N48" s="95">
        <f>L48-M48</f>
        <v/>
      </c>
      <c r="O48" s="95">
        <f>J48-M48</f>
        <v/>
      </c>
      <c r="P48" s="95">
        <f>P47+O48</f>
        <v/>
      </c>
      <c r="Q48" s="95">
        <f>O48*F48</f>
        <v/>
      </c>
      <c r="R48" s="95">
        <f>Gia_dinh_Dau_vao!$C$23*C48*D48</f>
        <v/>
      </c>
      <c r="S48" s="95">
        <f>R48*Gia_dinh_Dau_vao!$C$17</f>
        <v/>
      </c>
      <c r="T48" s="95">
        <f>Gia_dinh_Dau_vao!$F$40*E48</f>
        <v/>
      </c>
      <c r="U48" s="95">
        <f>R48-S48-T48</f>
        <v/>
      </c>
      <c r="V48" s="95">
        <f>IF(A48&lt;=60, CAPEX_Dau_tu!$G$32/60, 0)</f>
        <v/>
      </c>
      <c r="W48" s="95">
        <f>U48-V48</f>
        <v/>
      </c>
      <c r="X48" s="95">
        <f>IF(W48&gt;0, W48*Gia_dinh_Dau_vao!$C$11, 0)</f>
        <v/>
      </c>
      <c r="Y48" s="95">
        <f>W48-X48</f>
        <v/>
      </c>
      <c r="Z48" s="95">
        <f>U48-X48</f>
        <v/>
      </c>
      <c r="AA48" s="95">
        <f>AA47+Z48</f>
        <v/>
      </c>
      <c r="AB48" s="95">
        <f>Z48*F48</f>
        <v/>
      </c>
      <c r="AC48" s="95">
        <f>Gia_dinh_Dau_vao!$C$24*C48*D48</f>
        <v/>
      </c>
      <c r="AD48" s="95">
        <f>AC48*Gia_dinh_Dau_vao!$C$17</f>
        <v/>
      </c>
      <c r="AE48" s="95">
        <f>Gia_dinh_Dau_vao!$F$40*E48</f>
        <v/>
      </c>
      <c r="AF48" s="95">
        <f>AC48-AD48-AE48</f>
        <v/>
      </c>
      <c r="AG48" s="95">
        <f>IF(A48&lt;=60, CAPEX_Dau_tu!$G$32/60, 0)</f>
        <v/>
      </c>
      <c r="AH48" s="95">
        <f>AF48-AG48</f>
        <v/>
      </c>
      <c r="AI48" s="95">
        <f>IF(AH48&gt;0, AH48*Gia_dinh_Dau_vao!$C$11, 0)</f>
        <v/>
      </c>
      <c r="AJ48" s="95">
        <f>AH48-AI48</f>
        <v/>
      </c>
      <c r="AK48" s="95">
        <f>AF48-AI48</f>
        <v/>
      </c>
      <c r="AL48" s="95">
        <f>AL47+AK48</f>
        <v/>
      </c>
      <c r="AM48" s="95">
        <f>AK48*F48</f>
        <v/>
      </c>
    </row>
    <row r="49" ht="20.1" customHeight="1" s="69">
      <c r="A49" s="19" t="n">
        <v>44</v>
      </c>
      <c r="B49" s="19">
        <f>INT((A49-1)/12)+1</f>
        <v/>
      </c>
      <c r="C49" s="111">
        <f>Gia_dinh_Dau_vao!$G$44</f>
        <v/>
      </c>
      <c r="D49" s="112">
        <f>(1+Gia_dinh_Dau_vao!$C$10)^(B49-1)</f>
        <v/>
      </c>
      <c r="E49" s="112">
        <f>(1+Gia_dinh_Dau_vao!$C$9)^(B49-1)</f>
        <v/>
      </c>
      <c r="F49" s="112">
        <f>1/(1+Gia_dinh_Dau_vao!$C$12)^(A49/12)</f>
        <v/>
      </c>
      <c r="G49" s="95">
        <f>Gia_dinh_Dau_vao!$C$22*C49*D49</f>
        <v/>
      </c>
      <c r="H49" s="95">
        <f>G49*Gia_dinh_Dau_vao!$C$17</f>
        <v/>
      </c>
      <c r="I49" s="95">
        <f>Gia_dinh_Dau_vao!$F$40*E49</f>
        <v/>
      </c>
      <c r="J49" s="95">
        <f>G49-H49-I49</f>
        <v/>
      </c>
      <c r="K49" s="95">
        <f>IF(A49&lt;=60, CAPEX_Dau_tu!$G$32/60, 0)</f>
        <v/>
      </c>
      <c r="L49" s="95">
        <f>J49-K49</f>
        <v/>
      </c>
      <c r="M49" s="95">
        <f>IF(L49&gt;0, L49*Gia_dinh_Dau_vao!$C$11, 0)</f>
        <v/>
      </c>
      <c r="N49" s="95">
        <f>L49-M49</f>
        <v/>
      </c>
      <c r="O49" s="95">
        <f>J49-M49</f>
        <v/>
      </c>
      <c r="P49" s="95">
        <f>P48+O49</f>
        <v/>
      </c>
      <c r="Q49" s="95">
        <f>O49*F49</f>
        <v/>
      </c>
      <c r="R49" s="95">
        <f>Gia_dinh_Dau_vao!$C$23*C49*D49</f>
        <v/>
      </c>
      <c r="S49" s="95">
        <f>R49*Gia_dinh_Dau_vao!$C$17</f>
        <v/>
      </c>
      <c r="T49" s="95">
        <f>Gia_dinh_Dau_vao!$F$40*E49</f>
        <v/>
      </c>
      <c r="U49" s="95">
        <f>R49-S49-T49</f>
        <v/>
      </c>
      <c r="V49" s="95">
        <f>IF(A49&lt;=60, CAPEX_Dau_tu!$G$32/60, 0)</f>
        <v/>
      </c>
      <c r="W49" s="95">
        <f>U49-V49</f>
        <v/>
      </c>
      <c r="X49" s="95">
        <f>IF(W49&gt;0, W49*Gia_dinh_Dau_vao!$C$11, 0)</f>
        <v/>
      </c>
      <c r="Y49" s="95">
        <f>W49-X49</f>
        <v/>
      </c>
      <c r="Z49" s="95">
        <f>U49-X49</f>
        <v/>
      </c>
      <c r="AA49" s="95">
        <f>AA48+Z49</f>
        <v/>
      </c>
      <c r="AB49" s="95">
        <f>Z49*F49</f>
        <v/>
      </c>
      <c r="AC49" s="95">
        <f>Gia_dinh_Dau_vao!$C$24*C49*D49</f>
        <v/>
      </c>
      <c r="AD49" s="95">
        <f>AC49*Gia_dinh_Dau_vao!$C$17</f>
        <v/>
      </c>
      <c r="AE49" s="95">
        <f>Gia_dinh_Dau_vao!$F$40*E49</f>
        <v/>
      </c>
      <c r="AF49" s="95">
        <f>AC49-AD49-AE49</f>
        <v/>
      </c>
      <c r="AG49" s="95">
        <f>IF(A49&lt;=60, CAPEX_Dau_tu!$G$32/60, 0)</f>
        <v/>
      </c>
      <c r="AH49" s="95">
        <f>AF49-AG49</f>
        <v/>
      </c>
      <c r="AI49" s="95">
        <f>IF(AH49&gt;0, AH49*Gia_dinh_Dau_vao!$C$11, 0)</f>
        <v/>
      </c>
      <c r="AJ49" s="95">
        <f>AH49-AI49</f>
        <v/>
      </c>
      <c r="AK49" s="95">
        <f>AF49-AI49</f>
        <v/>
      </c>
      <c r="AL49" s="95">
        <f>AL48+AK49</f>
        <v/>
      </c>
      <c r="AM49" s="95">
        <f>AK49*F49</f>
        <v/>
      </c>
    </row>
    <row r="50" ht="20.1" customHeight="1" s="69">
      <c r="A50" s="19" t="n">
        <v>45</v>
      </c>
      <c r="B50" s="19">
        <f>INT((A50-1)/12)+1</f>
        <v/>
      </c>
      <c r="C50" s="111">
        <f>Gia_dinh_Dau_vao!$G$44</f>
        <v/>
      </c>
      <c r="D50" s="112">
        <f>(1+Gia_dinh_Dau_vao!$C$10)^(B50-1)</f>
        <v/>
      </c>
      <c r="E50" s="112">
        <f>(1+Gia_dinh_Dau_vao!$C$9)^(B50-1)</f>
        <v/>
      </c>
      <c r="F50" s="112">
        <f>1/(1+Gia_dinh_Dau_vao!$C$12)^(A50/12)</f>
        <v/>
      </c>
      <c r="G50" s="95">
        <f>Gia_dinh_Dau_vao!$C$22*C50*D50</f>
        <v/>
      </c>
      <c r="H50" s="95">
        <f>G50*Gia_dinh_Dau_vao!$C$17</f>
        <v/>
      </c>
      <c r="I50" s="95">
        <f>Gia_dinh_Dau_vao!$F$40*E50</f>
        <v/>
      </c>
      <c r="J50" s="95">
        <f>G50-H50-I50</f>
        <v/>
      </c>
      <c r="K50" s="95">
        <f>IF(A50&lt;=60, CAPEX_Dau_tu!$G$32/60, 0)</f>
        <v/>
      </c>
      <c r="L50" s="95">
        <f>J50-K50</f>
        <v/>
      </c>
      <c r="M50" s="95">
        <f>IF(L50&gt;0, L50*Gia_dinh_Dau_vao!$C$11, 0)</f>
        <v/>
      </c>
      <c r="N50" s="95">
        <f>L50-M50</f>
        <v/>
      </c>
      <c r="O50" s="95">
        <f>J50-M50</f>
        <v/>
      </c>
      <c r="P50" s="95">
        <f>P49+O50</f>
        <v/>
      </c>
      <c r="Q50" s="95">
        <f>O50*F50</f>
        <v/>
      </c>
      <c r="R50" s="95">
        <f>Gia_dinh_Dau_vao!$C$23*C50*D50</f>
        <v/>
      </c>
      <c r="S50" s="95">
        <f>R50*Gia_dinh_Dau_vao!$C$17</f>
        <v/>
      </c>
      <c r="T50" s="95">
        <f>Gia_dinh_Dau_vao!$F$40*E50</f>
        <v/>
      </c>
      <c r="U50" s="95">
        <f>R50-S50-T50</f>
        <v/>
      </c>
      <c r="V50" s="95">
        <f>IF(A50&lt;=60, CAPEX_Dau_tu!$G$32/60, 0)</f>
        <v/>
      </c>
      <c r="W50" s="95">
        <f>U50-V50</f>
        <v/>
      </c>
      <c r="X50" s="95">
        <f>IF(W50&gt;0, W50*Gia_dinh_Dau_vao!$C$11, 0)</f>
        <v/>
      </c>
      <c r="Y50" s="95">
        <f>W50-X50</f>
        <v/>
      </c>
      <c r="Z50" s="95">
        <f>U50-X50</f>
        <v/>
      </c>
      <c r="AA50" s="95">
        <f>AA49+Z50</f>
        <v/>
      </c>
      <c r="AB50" s="95">
        <f>Z50*F50</f>
        <v/>
      </c>
      <c r="AC50" s="95">
        <f>Gia_dinh_Dau_vao!$C$24*C50*D50</f>
        <v/>
      </c>
      <c r="AD50" s="95">
        <f>AC50*Gia_dinh_Dau_vao!$C$17</f>
        <v/>
      </c>
      <c r="AE50" s="95">
        <f>Gia_dinh_Dau_vao!$F$40*E50</f>
        <v/>
      </c>
      <c r="AF50" s="95">
        <f>AC50-AD50-AE50</f>
        <v/>
      </c>
      <c r="AG50" s="95">
        <f>IF(A50&lt;=60, CAPEX_Dau_tu!$G$32/60, 0)</f>
        <v/>
      </c>
      <c r="AH50" s="95">
        <f>AF50-AG50</f>
        <v/>
      </c>
      <c r="AI50" s="95">
        <f>IF(AH50&gt;0, AH50*Gia_dinh_Dau_vao!$C$11, 0)</f>
        <v/>
      </c>
      <c r="AJ50" s="95">
        <f>AH50-AI50</f>
        <v/>
      </c>
      <c r="AK50" s="95">
        <f>AF50-AI50</f>
        <v/>
      </c>
      <c r="AL50" s="95">
        <f>AL49+AK50</f>
        <v/>
      </c>
      <c r="AM50" s="95">
        <f>AK50*F50</f>
        <v/>
      </c>
    </row>
    <row r="51" ht="20.1" customHeight="1" s="69">
      <c r="A51" s="19" t="n">
        <v>46</v>
      </c>
      <c r="B51" s="19">
        <f>INT((A51-1)/12)+1</f>
        <v/>
      </c>
      <c r="C51" s="111">
        <f>Gia_dinh_Dau_vao!$G$44</f>
        <v/>
      </c>
      <c r="D51" s="112">
        <f>(1+Gia_dinh_Dau_vao!$C$10)^(B51-1)</f>
        <v/>
      </c>
      <c r="E51" s="112">
        <f>(1+Gia_dinh_Dau_vao!$C$9)^(B51-1)</f>
        <v/>
      </c>
      <c r="F51" s="112">
        <f>1/(1+Gia_dinh_Dau_vao!$C$12)^(A51/12)</f>
        <v/>
      </c>
      <c r="G51" s="95">
        <f>Gia_dinh_Dau_vao!$C$22*C51*D51</f>
        <v/>
      </c>
      <c r="H51" s="95">
        <f>G51*Gia_dinh_Dau_vao!$C$17</f>
        <v/>
      </c>
      <c r="I51" s="95">
        <f>Gia_dinh_Dau_vao!$F$40*E51</f>
        <v/>
      </c>
      <c r="J51" s="95">
        <f>G51-H51-I51</f>
        <v/>
      </c>
      <c r="K51" s="95">
        <f>IF(A51&lt;=60, CAPEX_Dau_tu!$G$32/60, 0)</f>
        <v/>
      </c>
      <c r="L51" s="95">
        <f>J51-K51</f>
        <v/>
      </c>
      <c r="M51" s="95">
        <f>IF(L51&gt;0, L51*Gia_dinh_Dau_vao!$C$11, 0)</f>
        <v/>
      </c>
      <c r="N51" s="95">
        <f>L51-M51</f>
        <v/>
      </c>
      <c r="O51" s="95">
        <f>J51-M51</f>
        <v/>
      </c>
      <c r="P51" s="95">
        <f>P50+O51</f>
        <v/>
      </c>
      <c r="Q51" s="95">
        <f>O51*F51</f>
        <v/>
      </c>
      <c r="R51" s="95">
        <f>Gia_dinh_Dau_vao!$C$23*C51*D51</f>
        <v/>
      </c>
      <c r="S51" s="95">
        <f>R51*Gia_dinh_Dau_vao!$C$17</f>
        <v/>
      </c>
      <c r="T51" s="95">
        <f>Gia_dinh_Dau_vao!$F$40*E51</f>
        <v/>
      </c>
      <c r="U51" s="95">
        <f>R51-S51-T51</f>
        <v/>
      </c>
      <c r="V51" s="95">
        <f>IF(A51&lt;=60, CAPEX_Dau_tu!$G$32/60, 0)</f>
        <v/>
      </c>
      <c r="W51" s="95">
        <f>U51-V51</f>
        <v/>
      </c>
      <c r="X51" s="95">
        <f>IF(W51&gt;0, W51*Gia_dinh_Dau_vao!$C$11, 0)</f>
        <v/>
      </c>
      <c r="Y51" s="95">
        <f>W51-X51</f>
        <v/>
      </c>
      <c r="Z51" s="95">
        <f>U51-X51</f>
        <v/>
      </c>
      <c r="AA51" s="95">
        <f>AA50+Z51</f>
        <v/>
      </c>
      <c r="AB51" s="95">
        <f>Z51*F51</f>
        <v/>
      </c>
      <c r="AC51" s="95">
        <f>Gia_dinh_Dau_vao!$C$24*C51*D51</f>
        <v/>
      </c>
      <c r="AD51" s="95">
        <f>AC51*Gia_dinh_Dau_vao!$C$17</f>
        <v/>
      </c>
      <c r="AE51" s="95">
        <f>Gia_dinh_Dau_vao!$F$40*E51</f>
        <v/>
      </c>
      <c r="AF51" s="95">
        <f>AC51-AD51-AE51</f>
        <v/>
      </c>
      <c r="AG51" s="95">
        <f>IF(A51&lt;=60, CAPEX_Dau_tu!$G$32/60, 0)</f>
        <v/>
      </c>
      <c r="AH51" s="95">
        <f>AF51-AG51</f>
        <v/>
      </c>
      <c r="AI51" s="95">
        <f>IF(AH51&gt;0, AH51*Gia_dinh_Dau_vao!$C$11, 0)</f>
        <v/>
      </c>
      <c r="AJ51" s="95">
        <f>AH51-AI51</f>
        <v/>
      </c>
      <c r="AK51" s="95">
        <f>AF51-AI51</f>
        <v/>
      </c>
      <c r="AL51" s="95">
        <f>AL50+AK51</f>
        <v/>
      </c>
      <c r="AM51" s="95">
        <f>AK51*F51</f>
        <v/>
      </c>
    </row>
    <row r="52" ht="20.1" customHeight="1" s="69">
      <c r="A52" s="19" t="n">
        <v>47</v>
      </c>
      <c r="B52" s="19">
        <f>INT((A52-1)/12)+1</f>
        <v/>
      </c>
      <c r="C52" s="111">
        <f>Gia_dinh_Dau_vao!$G$44</f>
        <v/>
      </c>
      <c r="D52" s="112">
        <f>(1+Gia_dinh_Dau_vao!$C$10)^(B52-1)</f>
        <v/>
      </c>
      <c r="E52" s="112">
        <f>(1+Gia_dinh_Dau_vao!$C$9)^(B52-1)</f>
        <v/>
      </c>
      <c r="F52" s="112">
        <f>1/(1+Gia_dinh_Dau_vao!$C$12)^(A52/12)</f>
        <v/>
      </c>
      <c r="G52" s="95">
        <f>Gia_dinh_Dau_vao!$C$22*C52*D52</f>
        <v/>
      </c>
      <c r="H52" s="95">
        <f>G52*Gia_dinh_Dau_vao!$C$17</f>
        <v/>
      </c>
      <c r="I52" s="95">
        <f>Gia_dinh_Dau_vao!$F$40*E52</f>
        <v/>
      </c>
      <c r="J52" s="95">
        <f>G52-H52-I52</f>
        <v/>
      </c>
      <c r="K52" s="95">
        <f>IF(A52&lt;=60, CAPEX_Dau_tu!$G$32/60, 0)</f>
        <v/>
      </c>
      <c r="L52" s="95">
        <f>J52-K52</f>
        <v/>
      </c>
      <c r="M52" s="95">
        <f>IF(L52&gt;0, L52*Gia_dinh_Dau_vao!$C$11, 0)</f>
        <v/>
      </c>
      <c r="N52" s="95">
        <f>L52-M52</f>
        <v/>
      </c>
      <c r="O52" s="95">
        <f>J52-M52</f>
        <v/>
      </c>
      <c r="P52" s="95">
        <f>P51+O52</f>
        <v/>
      </c>
      <c r="Q52" s="95">
        <f>O52*F52</f>
        <v/>
      </c>
      <c r="R52" s="95">
        <f>Gia_dinh_Dau_vao!$C$23*C52*D52</f>
        <v/>
      </c>
      <c r="S52" s="95">
        <f>R52*Gia_dinh_Dau_vao!$C$17</f>
        <v/>
      </c>
      <c r="T52" s="95">
        <f>Gia_dinh_Dau_vao!$F$40*E52</f>
        <v/>
      </c>
      <c r="U52" s="95">
        <f>R52-S52-T52</f>
        <v/>
      </c>
      <c r="V52" s="95">
        <f>IF(A52&lt;=60, CAPEX_Dau_tu!$G$32/60, 0)</f>
        <v/>
      </c>
      <c r="W52" s="95">
        <f>U52-V52</f>
        <v/>
      </c>
      <c r="X52" s="95">
        <f>IF(W52&gt;0, W52*Gia_dinh_Dau_vao!$C$11, 0)</f>
        <v/>
      </c>
      <c r="Y52" s="95">
        <f>W52-X52</f>
        <v/>
      </c>
      <c r="Z52" s="95">
        <f>U52-X52</f>
        <v/>
      </c>
      <c r="AA52" s="95">
        <f>AA51+Z52</f>
        <v/>
      </c>
      <c r="AB52" s="95">
        <f>Z52*F52</f>
        <v/>
      </c>
      <c r="AC52" s="95">
        <f>Gia_dinh_Dau_vao!$C$24*C52*D52</f>
        <v/>
      </c>
      <c r="AD52" s="95">
        <f>AC52*Gia_dinh_Dau_vao!$C$17</f>
        <v/>
      </c>
      <c r="AE52" s="95">
        <f>Gia_dinh_Dau_vao!$F$40*E52</f>
        <v/>
      </c>
      <c r="AF52" s="95">
        <f>AC52-AD52-AE52</f>
        <v/>
      </c>
      <c r="AG52" s="95">
        <f>IF(A52&lt;=60, CAPEX_Dau_tu!$G$32/60, 0)</f>
        <v/>
      </c>
      <c r="AH52" s="95">
        <f>AF52-AG52</f>
        <v/>
      </c>
      <c r="AI52" s="95">
        <f>IF(AH52&gt;0, AH52*Gia_dinh_Dau_vao!$C$11, 0)</f>
        <v/>
      </c>
      <c r="AJ52" s="95">
        <f>AH52-AI52</f>
        <v/>
      </c>
      <c r="AK52" s="95">
        <f>AF52-AI52</f>
        <v/>
      </c>
      <c r="AL52" s="95">
        <f>AL51+AK52</f>
        <v/>
      </c>
      <c r="AM52" s="95">
        <f>AK52*F52</f>
        <v/>
      </c>
    </row>
    <row r="53" ht="20.1" customHeight="1" s="69">
      <c r="A53" s="19" t="n">
        <v>48</v>
      </c>
      <c r="B53" s="19">
        <f>INT((A53-1)/12)+1</f>
        <v/>
      </c>
      <c r="C53" s="111">
        <f>Gia_dinh_Dau_vao!$G$44</f>
        <v/>
      </c>
      <c r="D53" s="112">
        <f>(1+Gia_dinh_Dau_vao!$C$10)^(B53-1)</f>
        <v/>
      </c>
      <c r="E53" s="112">
        <f>(1+Gia_dinh_Dau_vao!$C$9)^(B53-1)</f>
        <v/>
      </c>
      <c r="F53" s="112">
        <f>1/(1+Gia_dinh_Dau_vao!$C$12)^(A53/12)</f>
        <v/>
      </c>
      <c r="G53" s="95">
        <f>Gia_dinh_Dau_vao!$C$22*C53*D53</f>
        <v/>
      </c>
      <c r="H53" s="95">
        <f>G53*Gia_dinh_Dau_vao!$C$17</f>
        <v/>
      </c>
      <c r="I53" s="95">
        <f>Gia_dinh_Dau_vao!$F$40*E53</f>
        <v/>
      </c>
      <c r="J53" s="95">
        <f>G53-H53-I53</f>
        <v/>
      </c>
      <c r="K53" s="95">
        <f>IF(A53&lt;=60, CAPEX_Dau_tu!$G$32/60, 0)</f>
        <v/>
      </c>
      <c r="L53" s="95">
        <f>J53-K53</f>
        <v/>
      </c>
      <c r="M53" s="95">
        <f>IF(L53&gt;0, L53*Gia_dinh_Dau_vao!$C$11, 0)</f>
        <v/>
      </c>
      <c r="N53" s="95">
        <f>L53-M53</f>
        <v/>
      </c>
      <c r="O53" s="95">
        <f>J53-M53</f>
        <v/>
      </c>
      <c r="P53" s="95">
        <f>P52+O53</f>
        <v/>
      </c>
      <c r="Q53" s="95">
        <f>O53*F53</f>
        <v/>
      </c>
      <c r="R53" s="95">
        <f>Gia_dinh_Dau_vao!$C$23*C53*D53</f>
        <v/>
      </c>
      <c r="S53" s="95">
        <f>R53*Gia_dinh_Dau_vao!$C$17</f>
        <v/>
      </c>
      <c r="T53" s="95">
        <f>Gia_dinh_Dau_vao!$F$40*E53</f>
        <v/>
      </c>
      <c r="U53" s="95">
        <f>R53-S53-T53</f>
        <v/>
      </c>
      <c r="V53" s="95">
        <f>IF(A53&lt;=60, CAPEX_Dau_tu!$G$32/60, 0)</f>
        <v/>
      </c>
      <c r="W53" s="95">
        <f>U53-V53</f>
        <v/>
      </c>
      <c r="X53" s="95">
        <f>IF(W53&gt;0, W53*Gia_dinh_Dau_vao!$C$11, 0)</f>
        <v/>
      </c>
      <c r="Y53" s="95">
        <f>W53-X53</f>
        <v/>
      </c>
      <c r="Z53" s="95">
        <f>U53-X53</f>
        <v/>
      </c>
      <c r="AA53" s="95">
        <f>AA52+Z53</f>
        <v/>
      </c>
      <c r="AB53" s="95">
        <f>Z53*F53</f>
        <v/>
      </c>
      <c r="AC53" s="95">
        <f>Gia_dinh_Dau_vao!$C$24*C53*D53</f>
        <v/>
      </c>
      <c r="AD53" s="95">
        <f>AC53*Gia_dinh_Dau_vao!$C$17</f>
        <v/>
      </c>
      <c r="AE53" s="95">
        <f>Gia_dinh_Dau_vao!$F$40*E53</f>
        <v/>
      </c>
      <c r="AF53" s="95">
        <f>AC53-AD53-AE53</f>
        <v/>
      </c>
      <c r="AG53" s="95">
        <f>IF(A53&lt;=60, CAPEX_Dau_tu!$G$32/60, 0)</f>
        <v/>
      </c>
      <c r="AH53" s="95">
        <f>AF53-AG53</f>
        <v/>
      </c>
      <c r="AI53" s="95">
        <f>IF(AH53&gt;0, AH53*Gia_dinh_Dau_vao!$C$11, 0)</f>
        <v/>
      </c>
      <c r="AJ53" s="95">
        <f>AH53-AI53</f>
        <v/>
      </c>
      <c r="AK53" s="95">
        <f>AF53-AI53</f>
        <v/>
      </c>
      <c r="AL53" s="95">
        <f>AL52+AK53</f>
        <v/>
      </c>
      <c r="AM53" s="95">
        <f>AK53*F53</f>
        <v/>
      </c>
    </row>
    <row r="54" ht="20.1" customHeight="1" s="69">
      <c r="A54" s="19" t="n">
        <v>49</v>
      </c>
      <c r="B54" s="19">
        <f>INT((A54-1)/12)+1</f>
        <v/>
      </c>
      <c r="C54" s="111">
        <f>Gia_dinh_Dau_vao!$G$44</f>
        <v/>
      </c>
      <c r="D54" s="112">
        <f>(1+Gia_dinh_Dau_vao!$C$10)^(B54-1)</f>
        <v/>
      </c>
      <c r="E54" s="112">
        <f>(1+Gia_dinh_Dau_vao!$C$9)^(B54-1)</f>
        <v/>
      </c>
      <c r="F54" s="112">
        <f>1/(1+Gia_dinh_Dau_vao!$C$12)^(A54/12)</f>
        <v/>
      </c>
      <c r="G54" s="95">
        <f>Gia_dinh_Dau_vao!$C$22*C54*D54</f>
        <v/>
      </c>
      <c r="H54" s="95">
        <f>G54*Gia_dinh_Dau_vao!$C$17</f>
        <v/>
      </c>
      <c r="I54" s="95">
        <f>Gia_dinh_Dau_vao!$F$40*E54</f>
        <v/>
      </c>
      <c r="J54" s="95">
        <f>G54-H54-I54</f>
        <v/>
      </c>
      <c r="K54" s="95">
        <f>IF(A54&lt;=60, CAPEX_Dau_tu!$G$32/60, 0)</f>
        <v/>
      </c>
      <c r="L54" s="95">
        <f>J54-K54</f>
        <v/>
      </c>
      <c r="M54" s="95">
        <f>IF(L54&gt;0, L54*Gia_dinh_Dau_vao!$C$11, 0)</f>
        <v/>
      </c>
      <c r="N54" s="95">
        <f>L54-M54</f>
        <v/>
      </c>
      <c r="O54" s="95">
        <f>J54-M54</f>
        <v/>
      </c>
      <c r="P54" s="95">
        <f>P53+O54</f>
        <v/>
      </c>
      <c r="Q54" s="95">
        <f>O54*F54</f>
        <v/>
      </c>
      <c r="R54" s="95">
        <f>Gia_dinh_Dau_vao!$C$23*C54*D54</f>
        <v/>
      </c>
      <c r="S54" s="95">
        <f>R54*Gia_dinh_Dau_vao!$C$17</f>
        <v/>
      </c>
      <c r="T54" s="95">
        <f>Gia_dinh_Dau_vao!$F$40*E54</f>
        <v/>
      </c>
      <c r="U54" s="95">
        <f>R54-S54-T54</f>
        <v/>
      </c>
      <c r="V54" s="95">
        <f>IF(A54&lt;=60, CAPEX_Dau_tu!$G$32/60, 0)</f>
        <v/>
      </c>
      <c r="W54" s="95">
        <f>U54-V54</f>
        <v/>
      </c>
      <c r="X54" s="95">
        <f>IF(W54&gt;0, W54*Gia_dinh_Dau_vao!$C$11, 0)</f>
        <v/>
      </c>
      <c r="Y54" s="95">
        <f>W54-X54</f>
        <v/>
      </c>
      <c r="Z54" s="95">
        <f>U54-X54</f>
        <v/>
      </c>
      <c r="AA54" s="95">
        <f>AA53+Z54</f>
        <v/>
      </c>
      <c r="AB54" s="95">
        <f>Z54*F54</f>
        <v/>
      </c>
      <c r="AC54" s="95">
        <f>Gia_dinh_Dau_vao!$C$24*C54*D54</f>
        <v/>
      </c>
      <c r="AD54" s="95">
        <f>AC54*Gia_dinh_Dau_vao!$C$17</f>
        <v/>
      </c>
      <c r="AE54" s="95">
        <f>Gia_dinh_Dau_vao!$F$40*E54</f>
        <v/>
      </c>
      <c r="AF54" s="95">
        <f>AC54-AD54-AE54</f>
        <v/>
      </c>
      <c r="AG54" s="95">
        <f>IF(A54&lt;=60, CAPEX_Dau_tu!$G$32/60, 0)</f>
        <v/>
      </c>
      <c r="AH54" s="95">
        <f>AF54-AG54</f>
        <v/>
      </c>
      <c r="AI54" s="95">
        <f>IF(AH54&gt;0, AH54*Gia_dinh_Dau_vao!$C$11, 0)</f>
        <v/>
      </c>
      <c r="AJ54" s="95">
        <f>AH54-AI54</f>
        <v/>
      </c>
      <c r="AK54" s="95">
        <f>AF54-AI54</f>
        <v/>
      </c>
      <c r="AL54" s="95">
        <f>AL53+AK54</f>
        <v/>
      </c>
      <c r="AM54" s="95">
        <f>AK54*F54</f>
        <v/>
      </c>
    </row>
    <row r="55" ht="20.1" customHeight="1" s="69">
      <c r="A55" s="19" t="n">
        <v>50</v>
      </c>
      <c r="B55" s="19">
        <f>INT((A55-1)/12)+1</f>
        <v/>
      </c>
      <c r="C55" s="111">
        <f>Gia_dinh_Dau_vao!$G$44</f>
        <v/>
      </c>
      <c r="D55" s="112">
        <f>(1+Gia_dinh_Dau_vao!$C$10)^(B55-1)</f>
        <v/>
      </c>
      <c r="E55" s="112">
        <f>(1+Gia_dinh_Dau_vao!$C$9)^(B55-1)</f>
        <v/>
      </c>
      <c r="F55" s="112">
        <f>1/(1+Gia_dinh_Dau_vao!$C$12)^(A55/12)</f>
        <v/>
      </c>
      <c r="G55" s="95">
        <f>Gia_dinh_Dau_vao!$C$22*C55*D55</f>
        <v/>
      </c>
      <c r="H55" s="95">
        <f>G55*Gia_dinh_Dau_vao!$C$17</f>
        <v/>
      </c>
      <c r="I55" s="95">
        <f>Gia_dinh_Dau_vao!$F$40*E55</f>
        <v/>
      </c>
      <c r="J55" s="95">
        <f>G55-H55-I55</f>
        <v/>
      </c>
      <c r="K55" s="95">
        <f>IF(A55&lt;=60, CAPEX_Dau_tu!$G$32/60, 0)</f>
        <v/>
      </c>
      <c r="L55" s="95">
        <f>J55-K55</f>
        <v/>
      </c>
      <c r="M55" s="95">
        <f>IF(L55&gt;0, L55*Gia_dinh_Dau_vao!$C$11, 0)</f>
        <v/>
      </c>
      <c r="N55" s="95">
        <f>L55-M55</f>
        <v/>
      </c>
      <c r="O55" s="95">
        <f>J55-M55</f>
        <v/>
      </c>
      <c r="P55" s="95">
        <f>P54+O55</f>
        <v/>
      </c>
      <c r="Q55" s="95">
        <f>O55*F55</f>
        <v/>
      </c>
      <c r="R55" s="95">
        <f>Gia_dinh_Dau_vao!$C$23*C55*D55</f>
        <v/>
      </c>
      <c r="S55" s="95">
        <f>R55*Gia_dinh_Dau_vao!$C$17</f>
        <v/>
      </c>
      <c r="T55" s="95">
        <f>Gia_dinh_Dau_vao!$F$40*E55</f>
        <v/>
      </c>
      <c r="U55" s="95">
        <f>R55-S55-T55</f>
        <v/>
      </c>
      <c r="V55" s="95">
        <f>IF(A55&lt;=60, CAPEX_Dau_tu!$G$32/60, 0)</f>
        <v/>
      </c>
      <c r="W55" s="95">
        <f>U55-V55</f>
        <v/>
      </c>
      <c r="X55" s="95">
        <f>IF(W55&gt;0, W55*Gia_dinh_Dau_vao!$C$11, 0)</f>
        <v/>
      </c>
      <c r="Y55" s="95">
        <f>W55-X55</f>
        <v/>
      </c>
      <c r="Z55" s="95">
        <f>U55-X55</f>
        <v/>
      </c>
      <c r="AA55" s="95">
        <f>AA54+Z55</f>
        <v/>
      </c>
      <c r="AB55" s="95">
        <f>Z55*F55</f>
        <v/>
      </c>
      <c r="AC55" s="95">
        <f>Gia_dinh_Dau_vao!$C$24*C55*D55</f>
        <v/>
      </c>
      <c r="AD55" s="95">
        <f>AC55*Gia_dinh_Dau_vao!$C$17</f>
        <v/>
      </c>
      <c r="AE55" s="95">
        <f>Gia_dinh_Dau_vao!$F$40*E55</f>
        <v/>
      </c>
      <c r="AF55" s="95">
        <f>AC55-AD55-AE55</f>
        <v/>
      </c>
      <c r="AG55" s="95">
        <f>IF(A55&lt;=60, CAPEX_Dau_tu!$G$32/60, 0)</f>
        <v/>
      </c>
      <c r="AH55" s="95">
        <f>AF55-AG55</f>
        <v/>
      </c>
      <c r="AI55" s="95">
        <f>IF(AH55&gt;0, AH55*Gia_dinh_Dau_vao!$C$11, 0)</f>
        <v/>
      </c>
      <c r="AJ55" s="95">
        <f>AH55-AI55</f>
        <v/>
      </c>
      <c r="AK55" s="95">
        <f>AF55-AI55</f>
        <v/>
      </c>
      <c r="AL55" s="95">
        <f>AL54+AK55</f>
        <v/>
      </c>
      <c r="AM55" s="95">
        <f>AK55*F55</f>
        <v/>
      </c>
    </row>
    <row r="56" ht="20.1" customHeight="1" s="69">
      <c r="A56" s="19" t="n">
        <v>51</v>
      </c>
      <c r="B56" s="19">
        <f>INT((A56-1)/12)+1</f>
        <v/>
      </c>
      <c r="C56" s="111">
        <f>Gia_dinh_Dau_vao!$G$44</f>
        <v/>
      </c>
      <c r="D56" s="112">
        <f>(1+Gia_dinh_Dau_vao!$C$10)^(B56-1)</f>
        <v/>
      </c>
      <c r="E56" s="112">
        <f>(1+Gia_dinh_Dau_vao!$C$9)^(B56-1)</f>
        <v/>
      </c>
      <c r="F56" s="112">
        <f>1/(1+Gia_dinh_Dau_vao!$C$12)^(A56/12)</f>
        <v/>
      </c>
      <c r="G56" s="95">
        <f>Gia_dinh_Dau_vao!$C$22*C56*D56</f>
        <v/>
      </c>
      <c r="H56" s="95">
        <f>G56*Gia_dinh_Dau_vao!$C$17</f>
        <v/>
      </c>
      <c r="I56" s="95">
        <f>Gia_dinh_Dau_vao!$F$40*E56</f>
        <v/>
      </c>
      <c r="J56" s="95">
        <f>G56-H56-I56</f>
        <v/>
      </c>
      <c r="K56" s="95">
        <f>IF(A56&lt;=60, CAPEX_Dau_tu!$G$32/60, 0)</f>
        <v/>
      </c>
      <c r="L56" s="95">
        <f>J56-K56</f>
        <v/>
      </c>
      <c r="M56" s="95">
        <f>IF(L56&gt;0, L56*Gia_dinh_Dau_vao!$C$11, 0)</f>
        <v/>
      </c>
      <c r="N56" s="95">
        <f>L56-M56</f>
        <v/>
      </c>
      <c r="O56" s="95">
        <f>J56-M56</f>
        <v/>
      </c>
      <c r="P56" s="95">
        <f>P55+O56</f>
        <v/>
      </c>
      <c r="Q56" s="95">
        <f>O56*F56</f>
        <v/>
      </c>
      <c r="R56" s="95">
        <f>Gia_dinh_Dau_vao!$C$23*C56*D56</f>
        <v/>
      </c>
      <c r="S56" s="95">
        <f>R56*Gia_dinh_Dau_vao!$C$17</f>
        <v/>
      </c>
      <c r="T56" s="95">
        <f>Gia_dinh_Dau_vao!$F$40*E56</f>
        <v/>
      </c>
      <c r="U56" s="95">
        <f>R56-S56-T56</f>
        <v/>
      </c>
      <c r="V56" s="95">
        <f>IF(A56&lt;=60, CAPEX_Dau_tu!$G$32/60, 0)</f>
        <v/>
      </c>
      <c r="W56" s="95">
        <f>U56-V56</f>
        <v/>
      </c>
      <c r="X56" s="95">
        <f>IF(W56&gt;0, W56*Gia_dinh_Dau_vao!$C$11, 0)</f>
        <v/>
      </c>
      <c r="Y56" s="95">
        <f>W56-X56</f>
        <v/>
      </c>
      <c r="Z56" s="95">
        <f>U56-X56</f>
        <v/>
      </c>
      <c r="AA56" s="95">
        <f>AA55+Z56</f>
        <v/>
      </c>
      <c r="AB56" s="95">
        <f>Z56*F56</f>
        <v/>
      </c>
      <c r="AC56" s="95">
        <f>Gia_dinh_Dau_vao!$C$24*C56*D56</f>
        <v/>
      </c>
      <c r="AD56" s="95">
        <f>AC56*Gia_dinh_Dau_vao!$C$17</f>
        <v/>
      </c>
      <c r="AE56" s="95">
        <f>Gia_dinh_Dau_vao!$F$40*E56</f>
        <v/>
      </c>
      <c r="AF56" s="95">
        <f>AC56-AD56-AE56</f>
        <v/>
      </c>
      <c r="AG56" s="95">
        <f>IF(A56&lt;=60, CAPEX_Dau_tu!$G$32/60, 0)</f>
        <v/>
      </c>
      <c r="AH56" s="95">
        <f>AF56-AG56</f>
        <v/>
      </c>
      <c r="AI56" s="95">
        <f>IF(AH56&gt;0, AH56*Gia_dinh_Dau_vao!$C$11, 0)</f>
        <v/>
      </c>
      <c r="AJ56" s="95">
        <f>AH56-AI56</f>
        <v/>
      </c>
      <c r="AK56" s="95">
        <f>AF56-AI56</f>
        <v/>
      </c>
      <c r="AL56" s="95">
        <f>AL55+AK56</f>
        <v/>
      </c>
      <c r="AM56" s="95">
        <f>AK56*F56</f>
        <v/>
      </c>
    </row>
    <row r="57" ht="20.1" customHeight="1" s="69">
      <c r="A57" s="19" t="n">
        <v>52</v>
      </c>
      <c r="B57" s="19">
        <f>INT((A57-1)/12)+1</f>
        <v/>
      </c>
      <c r="C57" s="111">
        <f>Gia_dinh_Dau_vao!$G$44</f>
        <v/>
      </c>
      <c r="D57" s="112">
        <f>(1+Gia_dinh_Dau_vao!$C$10)^(B57-1)</f>
        <v/>
      </c>
      <c r="E57" s="112">
        <f>(1+Gia_dinh_Dau_vao!$C$9)^(B57-1)</f>
        <v/>
      </c>
      <c r="F57" s="112">
        <f>1/(1+Gia_dinh_Dau_vao!$C$12)^(A57/12)</f>
        <v/>
      </c>
      <c r="G57" s="95">
        <f>Gia_dinh_Dau_vao!$C$22*C57*D57</f>
        <v/>
      </c>
      <c r="H57" s="95">
        <f>G57*Gia_dinh_Dau_vao!$C$17</f>
        <v/>
      </c>
      <c r="I57" s="95">
        <f>Gia_dinh_Dau_vao!$F$40*E57</f>
        <v/>
      </c>
      <c r="J57" s="95">
        <f>G57-H57-I57</f>
        <v/>
      </c>
      <c r="K57" s="95">
        <f>IF(A57&lt;=60, CAPEX_Dau_tu!$G$32/60, 0)</f>
        <v/>
      </c>
      <c r="L57" s="95">
        <f>J57-K57</f>
        <v/>
      </c>
      <c r="M57" s="95">
        <f>IF(L57&gt;0, L57*Gia_dinh_Dau_vao!$C$11, 0)</f>
        <v/>
      </c>
      <c r="N57" s="95">
        <f>L57-M57</f>
        <v/>
      </c>
      <c r="O57" s="95">
        <f>J57-M57</f>
        <v/>
      </c>
      <c r="P57" s="95">
        <f>P56+O57</f>
        <v/>
      </c>
      <c r="Q57" s="95">
        <f>O57*F57</f>
        <v/>
      </c>
      <c r="R57" s="95">
        <f>Gia_dinh_Dau_vao!$C$23*C57*D57</f>
        <v/>
      </c>
      <c r="S57" s="95">
        <f>R57*Gia_dinh_Dau_vao!$C$17</f>
        <v/>
      </c>
      <c r="T57" s="95">
        <f>Gia_dinh_Dau_vao!$F$40*E57</f>
        <v/>
      </c>
      <c r="U57" s="95">
        <f>R57-S57-T57</f>
        <v/>
      </c>
      <c r="V57" s="95">
        <f>IF(A57&lt;=60, CAPEX_Dau_tu!$G$32/60, 0)</f>
        <v/>
      </c>
      <c r="W57" s="95">
        <f>U57-V57</f>
        <v/>
      </c>
      <c r="X57" s="95">
        <f>IF(W57&gt;0, W57*Gia_dinh_Dau_vao!$C$11, 0)</f>
        <v/>
      </c>
      <c r="Y57" s="95">
        <f>W57-X57</f>
        <v/>
      </c>
      <c r="Z57" s="95">
        <f>U57-X57</f>
        <v/>
      </c>
      <c r="AA57" s="95">
        <f>AA56+Z57</f>
        <v/>
      </c>
      <c r="AB57" s="95">
        <f>Z57*F57</f>
        <v/>
      </c>
      <c r="AC57" s="95">
        <f>Gia_dinh_Dau_vao!$C$24*C57*D57</f>
        <v/>
      </c>
      <c r="AD57" s="95">
        <f>AC57*Gia_dinh_Dau_vao!$C$17</f>
        <v/>
      </c>
      <c r="AE57" s="95">
        <f>Gia_dinh_Dau_vao!$F$40*E57</f>
        <v/>
      </c>
      <c r="AF57" s="95">
        <f>AC57-AD57-AE57</f>
        <v/>
      </c>
      <c r="AG57" s="95">
        <f>IF(A57&lt;=60, CAPEX_Dau_tu!$G$32/60, 0)</f>
        <v/>
      </c>
      <c r="AH57" s="95">
        <f>AF57-AG57</f>
        <v/>
      </c>
      <c r="AI57" s="95">
        <f>IF(AH57&gt;0, AH57*Gia_dinh_Dau_vao!$C$11, 0)</f>
        <v/>
      </c>
      <c r="AJ57" s="95">
        <f>AH57-AI57</f>
        <v/>
      </c>
      <c r="AK57" s="95">
        <f>AF57-AI57</f>
        <v/>
      </c>
      <c r="AL57" s="95">
        <f>AL56+AK57</f>
        <v/>
      </c>
      <c r="AM57" s="95">
        <f>AK57*F57</f>
        <v/>
      </c>
    </row>
    <row r="58" ht="20.1" customHeight="1" s="69">
      <c r="A58" s="19" t="n">
        <v>53</v>
      </c>
      <c r="B58" s="19">
        <f>INT((A58-1)/12)+1</f>
        <v/>
      </c>
      <c r="C58" s="111">
        <f>Gia_dinh_Dau_vao!$G$44</f>
        <v/>
      </c>
      <c r="D58" s="112">
        <f>(1+Gia_dinh_Dau_vao!$C$10)^(B58-1)</f>
        <v/>
      </c>
      <c r="E58" s="112">
        <f>(1+Gia_dinh_Dau_vao!$C$9)^(B58-1)</f>
        <v/>
      </c>
      <c r="F58" s="112">
        <f>1/(1+Gia_dinh_Dau_vao!$C$12)^(A58/12)</f>
        <v/>
      </c>
      <c r="G58" s="95">
        <f>Gia_dinh_Dau_vao!$C$22*C58*D58</f>
        <v/>
      </c>
      <c r="H58" s="95">
        <f>G58*Gia_dinh_Dau_vao!$C$17</f>
        <v/>
      </c>
      <c r="I58" s="95">
        <f>Gia_dinh_Dau_vao!$F$40*E58</f>
        <v/>
      </c>
      <c r="J58" s="95">
        <f>G58-H58-I58</f>
        <v/>
      </c>
      <c r="K58" s="95">
        <f>IF(A58&lt;=60, CAPEX_Dau_tu!$G$32/60, 0)</f>
        <v/>
      </c>
      <c r="L58" s="95">
        <f>J58-K58</f>
        <v/>
      </c>
      <c r="M58" s="95">
        <f>IF(L58&gt;0, L58*Gia_dinh_Dau_vao!$C$11, 0)</f>
        <v/>
      </c>
      <c r="N58" s="95">
        <f>L58-M58</f>
        <v/>
      </c>
      <c r="O58" s="95">
        <f>J58-M58</f>
        <v/>
      </c>
      <c r="P58" s="95">
        <f>P57+O58</f>
        <v/>
      </c>
      <c r="Q58" s="95">
        <f>O58*F58</f>
        <v/>
      </c>
      <c r="R58" s="95">
        <f>Gia_dinh_Dau_vao!$C$23*C58*D58</f>
        <v/>
      </c>
      <c r="S58" s="95">
        <f>R58*Gia_dinh_Dau_vao!$C$17</f>
        <v/>
      </c>
      <c r="T58" s="95">
        <f>Gia_dinh_Dau_vao!$F$40*E58</f>
        <v/>
      </c>
      <c r="U58" s="95">
        <f>R58-S58-T58</f>
        <v/>
      </c>
      <c r="V58" s="95">
        <f>IF(A58&lt;=60, CAPEX_Dau_tu!$G$32/60, 0)</f>
        <v/>
      </c>
      <c r="W58" s="95">
        <f>U58-V58</f>
        <v/>
      </c>
      <c r="X58" s="95">
        <f>IF(W58&gt;0, W58*Gia_dinh_Dau_vao!$C$11, 0)</f>
        <v/>
      </c>
      <c r="Y58" s="95">
        <f>W58-X58</f>
        <v/>
      </c>
      <c r="Z58" s="95">
        <f>U58-X58</f>
        <v/>
      </c>
      <c r="AA58" s="95">
        <f>AA57+Z58</f>
        <v/>
      </c>
      <c r="AB58" s="95">
        <f>Z58*F58</f>
        <v/>
      </c>
      <c r="AC58" s="95">
        <f>Gia_dinh_Dau_vao!$C$24*C58*D58</f>
        <v/>
      </c>
      <c r="AD58" s="95">
        <f>AC58*Gia_dinh_Dau_vao!$C$17</f>
        <v/>
      </c>
      <c r="AE58" s="95">
        <f>Gia_dinh_Dau_vao!$F$40*E58</f>
        <v/>
      </c>
      <c r="AF58" s="95">
        <f>AC58-AD58-AE58</f>
        <v/>
      </c>
      <c r="AG58" s="95">
        <f>IF(A58&lt;=60, CAPEX_Dau_tu!$G$32/60, 0)</f>
        <v/>
      </c>
      <c r="AH58" s="95">
        <f>AF58-AG58</f>
        <v/>
      </c>
      <c r="AI58" s="95">
        <f>IF(AH58&gt;0, AH58*Gia_dinh_Dau_vao!$C$11, 0)</f>
        <v/>
      </c>
      <c r="AJ58" s="95">
        <f>AH58-AI58</f>
        <v/>
      </c>
      <c r="AK58" s="95">
        <f>AF58-AI58</f>
        <v/>
      </c>
      <c r="AL58" s="95">
        <f>AL57+AK58</f>
        <v/>
      </c>
      <c r="AM58" s="95">
        <f>AK58*F58</f>
        <v/>
      </c>
    </row>
    <row r="59" ht="20.1" customHeight="1" s="69">
      <c r="A59" s="19" t="n">
        <v>54</v>
      </c>
      <c r="B59" s="19">
        <f>INT((A59-1)/12)+1</f>
        <v/>
      </c>
      <c r="C59" s="111">
        <f>Gia_dinh_Dau_vao!$G$44</f>
        <v/>
      </c>
      <c r="D59" s="112">
        <f>(1+Gia_dinh_Dau_vao!$C$10)^(B59-1)</f>
        <v/>
      </c>
      <c r="E59" s="112">
        <f>(1+Gia_dinh_Dau_vao!$C$9)^(B59-1)</f>
        <v/>
      </c>
      <c r="F59" s="112">
        <f>1/(1+Gia_dinh_Dau_vao!$C$12)^(A59/12)</f>
        <v/>
      </c>
      <c r="G59" s="95">
        <f>Gia_dinh_Dau_vao!$C$22*C59*D59</f>
        <v/>
      </c>
      <c r="H59" s="95">
        <f>G59*Gia_dinh_Dau_vao!$C$17</f>
        <v/>
      </c>
      <c r="I59" s="95">
        <f>Gia_dinh_Dau_vao!$F$40*E59</f>
        <v/>
      </c>
      <c r="J59" s="95">
        <f>G59-H59-I59</f>
        <v/>
      </c>
      <c r="K59" s="95">
        <f>IF(A59&lt;=60, CAPEX_Dau_tu!$G$32/60, 0)</f>
        <v/>
      </c>
      <c r="L59" s="95">
        <f>J59-K59</f>
        <v/>
      </c>
      <c r="M59" s="95">
        <f>IF(L59&gt;0, L59*Gia_dinh_Dau_vao!$C$11, 0)</f>
        <v/>
      </c>
      <c r="N59" s="95">
        <f>L59-M59</f>
        <v/>
      </c>
      <c r="O59" s="95">
        <f>J59-M59</f>
        <v/>
      </c>
      <c r="P59" s="95">
        <f>P58+O59</f>
        <v/>
      </c>
      <c r="Q59" s="95">
        <f>O59*F59</f>
        <v/>
      </c>
      <c r="R59" s="95">
        <f>Gia_dinh_Dau_vao!$C$23*C59*D59</f>
        <v/>
      </c>
      <c r="S59" s="95">
        <f>R59*Gia_dinh_Dau_vao!$C$17</f>
        <v/>
      </c>
      <c r="T59" s="95">
        <f>Gia_dinh_Dau_vao!$F$40*E59</f>
        <v/>
      </c>
      <c r="U59" s="95">
        <f>R59-S59-T59</f>
        <v/>
      </c>
      <c r="V59" s="95">
        <f>IF(A59&lt;=60, CAPEX_Dau_tu!$G$32/60, 0)</f>
        <v/>
      </c>
      <c r="W59" s="95">
        <f>U59-V59</f>
        <v/>
      </c>
      <c r="X59" s="95">
        <f>IF(W59&gt;0, W59*Gia_dinh_Dau_vao!$C$11, 0)</f>
        <v/>
      </c>
      <c r="Y59" s="95">
        <f>W59-X59</f>
        <v/>
      </c>
      <c r="Z59" s="95">
        <f>U59-X59</f>
        <v/>
      </c>
      <c r="AA59" s="95">
        <f>AA58+Z59</f>
        <v/>
      </c>
      <c r="AB59" s="95">
        <f>Z59*F59</f>
        <v/>
      </c>
      <c r="AC59" s="95">
        <f>Gia_dinh_Dau_vao!$C$24*C59*D59</f>
        <v/>
      </c>
      <c r="AD59" s="95">
        <f>AC59*Gia_dinh_Dau_vao!$C$17</f>
        <v/>
      </c>
      <c r="AE59" s="95">
        <f>Gia_dinh_Dau_vao!$F$40*E59</f>
        <v/>
      </c>
      <c r="AF59" s="95">
        <f>AC59-AD59-AE59</f>
        <v/>
      </c>
      <c r="AG59" s="95">
        <f>IF(A59&lt;=60, CAPEX_Dau_tu!$G$32/60, 0)</f>
        <v/>
      </c>
      <c r="AH59" s="95">
        <f>AF59-AG59</f>
        <v/>
      </c>
      <c r="AI59" s="95">
        <f>IF(AH59&gt;0, AH59*Gia_dinh_Dau_vao!$C$11, 0)</f>
        <v/>
      </c>
      <c r="AJ59" s="95">
        <f>AH59-AI59</f>
        <v/>
      </c>
      <c r="AK59" s="95">
        <f>AF59-AI59</f>
        <v/>
      </c>
      <c r="AL59" s="95">
        <f>AL58+AK59</f>
        <v/>
      </c>
      <c r="AM59" s="95">
        <f>AK59*F59</f>
        <v/>
      </c>
    </row>
    <row r="60" ht="20.1" customHeight="1" s="69">
      <c r="A60" s="19" t="n">
        <v>55</v>
      </c>
      <c r="B60" s="19">
        <f>INT((A60-1)/12)+1</f>
        <v/>
      </c>
      <c r="C60" s="111">
        <f>Gia_dinh_Dau_vao!$G$44</f>
        <v/>
      </c>
      <c r="D60" s="112">
        <f>(1+Gia_dinh_Dau_vao!$C$10)^(B60-1)</f>
        <v/>
      </c>
      <c r="E60" s="112">
        <f>(1+Gia_dinh_Dau_vao!$C$9)^(B60-1)</f>
        <v/>
      </c>
      <c r="F60" s="112">
        <f>1/(1+Gia_dinh_Dau_vao!$C$12)^(A60/12)</f>
        <v/>
      </c>
      <c r="G60" s="95">
        <f>Gia_dinh_Dau_vao!$C$22*C60*D60</f>
        <v/>
      </c>
      <c r="H60" s="95">
        <f>G60*Gia_dinh_Dau_vao!$C$17</f>
        <v/>
      </c>
      <c r="I60" s="95">
        <f>Gia_dinh_Dau_vao!$F$40*E60</f>
        <v/>
      </c>
      <c r="J60" s="95">
        <f>G60-H60-I60</f>
        <v/>
      </c>
      <c r="K60" s="95">
        <f>IF(A60&lt;=60, CAPEX_Dau_tu!$G$32/60, 0)</f>
        <v/>
      </c>
      <c r="L60" s="95">
        <f>J60-K60</f>
        <v/>
      </c>
      <c r="M60" s="95">
        <f>IF(L60&gt;0, L60*Gia_dinh_Dau_vao!$C$11, 0)</f>
        <v/>
      </c>
      <c r="N60" s="95">
        <f>L60-M60</f>
        <v/>
      </c>
      <c r="O60" s="95">
        <f>J60-M60</f>
        <v/>
      </c>
      <c r="P60" s="95">
        <f>P59+O60</f>
        <v/>
      </c>
      <c r="Q60" s="95">
        <f>O60*F60</f>
        <v/>
      </c>
      <c r="R60" s="95">
        <f>Gia_dinh_Dau_vao!$C$23*C60*D60</f>
        <v/>
      </c>
      <c r="S60" s="95">
        <f>R60*Gia_dinh_Dau_vao!$C$17</f>
        <v/>
      </c>
      <c r="T60" s="95">
        <f>Gia_dinh_Dau_vao!$F$40*E60</f>
        <v/>
      </c>
      <c r="U60" s="95">
        <f>R60-S60-T60</f>
        <v/>
      </c>
      <c r="V60" s="95">
        <f>IF(A60&lt;=60, CAPEX_Dau_tu!$G$32/60, 0)</f>
        <v/>
      </c>
      <c r="W60" s="95">
        <f>U60-V60</f>
        <v/>
      </c>
      <c r="X60" s="95">
        <f>IF(W60&gt;0, W60*Gia_dinh_Dau_vao!$C$11, 0)</f>
        <v/>
      </c>
      <c r="Y60" s="95">
        <f>W60-X60</f>
        <v/>
      </c>
      <c r="Z60" s="95">
        <f>U60-X60</f>
        <v/>
      </c>
      <c r="AA60" s="95">
        <f>AA59+Z60</f>
        <v/>
      </c>
      <c r="AB60" s="95">
        <f>Z60*F60</f>
        <v/>
      </c>
      <c r="AC60" s="95">
        <f>Gia_dinh_Dau_vao!$C$24*C60*D60</f>
        <v/>
      </c>
      <c r="AD60" s="95">
        <f>AC60*Gia_dinh_Dau_vao!$C$17</f>
        <v/>
      </c>
      <c r="AE60" s="95">
        <f>Gia_dinh_Dau_vao!$F$40*E60</f>
        <v/>
      </c>
      <c r="AF60" s="95">
        <f>AC60-AD60-AE60</f>
        <v/>
      </c>
      <c r="AG60" s="95">
        <f>IF(A60&lt;=60, CAPEX_Dau_tu!$G$32/60, 0)</f>
        <v/>
      </c>
      <c r="AH60" s="95">
        <f>AF60-AG60</f>
        <v/>
      </c>
      <c r="AI60" s="95">
        <f>IF(AH60&gt;0, AH60*Gia_dinh_Dau_vao!$C$11, 0)</f>
        <v/>
      </c>
      <c r="AJ60" s="95">
        <f>AH60-AI60</f>
        <v/>
      </c>
      <c r="AK60" s="95">
        <f>AF60-AI60</f>
        <v/>
      </c>
      <c r="AL60" s="95">
        <f>AL59+AK60</f>
        <v/>
      </c>
      <c r="AM60" s="95">
        <f>AK60*F60</f>
        <v/>
      </c>
    </row>
    <row r="61" ht="20.1" customHeight="1" s="69">
      <c r="A61" s="19" t="n">
        <v>56</v>
      </c>
      <c r="B61" s="19">
        <f>INT((A61-1)/12)+1</f>
        <v/>
      </c>
      <c r="C61" s="111">
        <f>Gia_dinh_Dau_vao!$G$44</f>
        <v/>
      </c>
      <c r="D61" s="112">
        <f>(1+Gia_dinh_Dau_vao!$C$10)^(B61-1)</f>
        <v/>
      </c>
      <c r="E61" s="112">
        <f>(1+Gia_dinh_Dau_vao!$C$9)^(B61-1)</f>
        <v/>
      </c>
      <c r="F61" s="112">
        <f>1/(1+Gia_dinh_Dau_vao!$C$12)^(A61/12)</f>
        <v/>
      </c>
      <c r="G61" s="95">
        <f>Gia_dinh_Dau_vao!$C$22*C61*D61</f>
        <v/>
      </c>
      <c r="H61" s="95">
        <f>G61*Gia_dinh_Dau_vao!$C$17</f>
        <v/>
      </c>
      <c r="I61" s="95">
        <f>Gia_dinh_Dau_vao!$F$40*E61</f>
        <v/>
      </c>
      <c r="J61" s="95">
        <f>G61-H61-I61</f>
        <v/>
      </c>
      <c r="K61" s="95">
        <f>IF(A61&lt;=60, CAPEX_Dau_tu!$G$32/60, 0)</f>
        <v/>
      </c>
      <c r="L61" s="95">
        <f>J61-K61</f>
        <v/>
      </c>
      <c r="M61" s="95">
        <f>IF(L61&gt;0, L61*Gia_dinh_Dau_vao!$C$11, 0)</f>
        <v/>
      </c>
      <c r="N61" s="95">
        <f>L61-M61</f>
        <v/>
      </c>
      <c r="O61" s="95">
        <f>J61-M61</f>
        <v/>
      </c>
      <c r="P61" s="95">
        <f>P60+O61</f>
        <v/>
      </c>
      <c r="Q61" s="95">
        <f>O61*F61</f>
        <v/>
      </c>
      <c r="R61" s="95">
        <f>Gia_dinh_Dau_vao!$C$23*C61*D61</f>
        <v/>
      </c>
      <c r="S61" s="95">
        <f>R61*Gia_dinh_Dau_vao!$C$17</f>
        <v/>
      </c>
      <c r="T61" s="95">
        <f>Gia_dinh_Dau_vao!$F$40*E61</f>
        <v/>
      </c>
      <c r="U61" s="95">
        <f>R61-S61-T61</f>
        <v/>
      </c>
      <c r="V61" s="95">
        <f>IF(A61&lt;=60, CAPEX_Dau_tu!$G$32/60, 0)</f>
        <v/>
      </c>
      <c r="W61" s="95">
        <f>U61-V61</f>
        <v/>
      </c>
      <c r="X61" s="95">
        <f>IF(W61&gt;0, W61*Gia_dinh_Dau_vao!$C$11, 0)</f>
        <v/>
      </c>
      <c r="Y61" s="95">
        <f>W61-X61</f>
        <v/>
      </c>
      <c r="Z61" s="95">
        <f>U61-X61</f>
        <v/>
      </c>
      <c r="AA61" s="95">
        <f>AA60+Z61</f>
        <v/>
      </c>
      <c r="AB61" s="95">
        <f>Z61*F61</f>
        <v/>
      </c>
      <c r="AC61" s="95">
        <f>Gia_dinh_Dau_vao!$C$24*C61*D61</f>
        <v/>
      </c>
      <c r="AD61" s="95">
        <f>AC61*Gia_dinh_Dau_vao!$C$17</f>
        <v/>
      </c>
      <c r="AE61" s="95">
        <f>Gia_dinh_Dau_vao!$F$40*E61</f>
        <v/>
      </c>
      <c r="AF61" s="95">
        <f>AC61-AD61-AE61</f>
        <v/>
      </c>
      <c r="AG61" s="95">
        <f>IF(A61&lt;=60, CAPEX_Dau_tu!$G$32/60, 0)</f>
        <v/>
      </c>
      <c r="AH61" s="95">
        <f>AF61-AG61</f>
        <v/>
      </c>
      <c r="AI61" s="95">
        <f>IF(AH61&gt;0, AH61*Gia_dinh_Dau_vao!$C$11, 0)</f>
        <v/>
      </c>
      <c r="AJ61" s="95">
        <f>AH61-AI61</f>
        <v/>
      </c>
      <c r="AK61" s="95">
        <f>AF61-AI61</f>
        <v/>
      </c>
      <c r="AL61" s="95">
        <f>AL60+AK61</f>
        <v/>
      </c>
      <c r="AM61" s="95">
        <f>AK61*F61</f>
        <v/>
      </c>
    </row>
    <row r="62" ht="20.1" customHeight="1" s="69">
      <c r="A62" s="19" t="n">
        <v>57</v>
      </c>
      <c r="B62" s="19">
        <f>INT((A62-1)/12)+1</f>
        <v/>
      </c>
      <c r="C62" s="111">
        <f>Gia_dinh_Dau_vao!$G$44</f>
        <v/>
      </c>
      <c r="D62" s="112">
        <f>(1+Gia_dinh_Dau_vao!$C$10)^(B62-1)</f>
        <v/>
      </c>
      <c r="E62" s="112">
        <f>(1+Gia_dinh_Dau_vao!$C$9)^(B62-1)</f>
        <v/>
      </c>
      <c r="F62" s="112">
        <f>1/(1+Gia_dinh_Dau_vao!$C$12)^(A62/12)</f>
        <v/>
      </c>
      <c r="G62" s="95">
        <f>Gia_dinh_Dau_vao!$C$22*C62*D62</f>
        <v/>
      </c>
      <c r="H62" s="95">
        <f>G62*Gia_dinh_Dau_vao!$C$17</f>
        <v/>
      </c>
      <c r="I62" s="95">
        <f>Gia_dinh_Dau_vao!$F$40*E62</f>
        <v/>
      </c>
      <c r="J62" s="95">
        <f>G62-H62-I62</f>
        <v/>
      </c>
      <c r="K62" s="95">
        <f>IF(A62&lt;=60, CAPEX_Dau_tu!$G$32/60, 0)</f>
        <v/>
      </c>
      <c r="L62" s="95">
        <f>J62-K62</f>
        <v/>
      </c>
      <c r="M62" s="95">
        <f>IF(L62&gt;0, L62*Gia_dinh_Dau_vao!$C$11, 0)</f>
        <v/>
      </c>
      <c r="N62" s="95">
        <f>L62-M62</f>
        <v/>
      </c>
      <c r="O62" s="95">
        <f>J62-M62</f>
        <v/>
      </c>
      <c r="P62" s="95">
        <f>P61+O62</f>
        <v/>
      </c>
      <c r="Q62" s="95">
        <f>O62*F62</f>
        <v/>
      </c>
      <c r="R62" s="95">
        <f>Gia_dinh_Dau_vao!$C$23*C62*D62</f>
        <v/>
      </c>
      <c r="S62" s="95">
        <f>R62*Gia_dinh_Dau_vao!$C$17</f>
        <v/>
      </c>
      <c r="T62" s="95">
        <f>Gia_dinh_Dau_vao!$F$40*E62</f>
        <v/>
      </c>
      <c r="U62" s="95">
        <f>R62-S62-T62</f>
        <v/>
      </c>
      <c r="V62" s="95">
        <f>IF(A62&lt;=60, CAPEX_Dau_tu!$G$32/60, 0)</f>
        <v/>
      </c>
      <c r="W62" s="95">
        <f>U62-V62</f>
        <v/>
      </c>
      <c r="X62" s="95">
        <f>IF(W62&gt;0, W62*Gia_dinh_Dau_vao!$C$11, 0)</f>
        <v/>
      </c>
      <c r="Y62" s="95">
        <f>W62-X62</f>
        <v/>
      </c>
      <c r="Z62" s="95">
        <f>U62-X62</f>
        <v/>
      </c>
      <c r="AA62" s="95">
        <f>AA61+Z62</f>
        <v/>
      </c>
      <c r="AB62" s="95">
        <f>Z62*F62</f>
        <v/>
      </c>
      <c r="AC62" s="95">
        <f>Gia_dinh_Dau_vao!$C$24*C62*D62</f>
        <v/>
      </c>
      <c r="AD62" s="95">
        <f>AC62*Gia_dinh_Dau_vao!$C$17</f>
        <v/>
      </c>
      <c r="AE62" s="95">
        <f>Gia_dinh_Dau_vao!$F$40*E62</f>
        <v/>
      </c>
      <c r="AF62" s="95">
        <f>AC62-AD62-AE62</f>
        <v/>
      </c>
      <c r="AG62" s="95">
        <f>IF(A62&lt;=60, CAPEX_Dau_tu!$G$32/60, 0)</f>
        <v/>
      </c>
      <c r="AH62" s="95">
        <f>AF62-AG62</f>
        <v/>
      </c>
      <c r="AI62" s="95">
        <f>IF(AH62&gt;0, AH62*Gia_dinh_Dau_vao!$C$11, 0)</f>
        <v/>
      </c>
      <c r="AJ62" s="95">
        <f>AH62-AI62</f>
        <v/>
      </c>
      <c r="AK62" s="95">
        <f>AF62-AI62</f>
        <v/>
      </c>
      <c r="AL62" s="95">
        <f>AL61+AK62</f>
        <v/>
      </c>
      <c r="AM62" s="95">
        <f>AK62*F62</f>
        <v/>
      </c>
    </row>
    <row r="63" ht="20.1" customHeight="1" s="69">
      <c r="A63" s="19" t="n">
        <v>58</v>
      </c>
      <c r="B63" s="19">
        <f>INT((A63-1)/12)+1</f>
        <v/>
      </c>
      <c r="C63" s="111">
        <f>Gia_dinh_Dau_vao!$G$44</f>
        <v/>
      </c>
      <c r="D63" s="112">
        <f>(1+Gia_dinh_Dau_vao!$C$10)^(B63-1)</f>
        <v/>
      </c>
      <c r="E63" s="112">
        <f>(1+Gia_dinh_Dau_vao!$C$9)^(B63-1)</f>
        <v/>
      </c>
      <c r="F63" s="112">
        <f>1/(1+Gia_dinh_Dau_vao!$C$12)^(A63/12)</f>
        <v/>
      </c>
      <c r="G63" s="95">
        <f>Gia_dinh_Dau_vao!$C$22*C63*D63</f>
        <v/>
      </c>
      <c r="H63" s="95">
        <f>G63*Gia_dinh_Dau_vao!$C$17</f>
        <v/>
      </c>
      <c r="I63" s="95">
        <f>Gia_dinh_Dau_vao!$F$40*E63</f>
        <v/>
      </c>
      <c r="J63" s="95">
        <f>G63-H63-I63</f>
        <v/>
      </c>
      <c r="K63" s="95">
        <f>IF(A63&lt;=60, CAPEX_Dau_tu!$G$32/60, 0)</f>
        <v/>
      </c>
      <c r="L63" s="95">
        <f>J63-K63</f>
        <v/>
      </c>
      <c r="M63" s="95">
        <f>IF(L63&gt;0, L63*Gia_dinh_Dau_vao!$C$11, 0)</f>
        <v/>
      </c>
      <c r="N63" s="95">
        <f>L63-M63</f>
        <v/>
      </c>
      <c r="O63" s="95">
        <f>J63-M63</f>
        <v/>
      </c>
      <c r="P63" s="95">
        <f>P62+O63</f>
        <v/>
      </c>
      <c r="Q63" s="95">
        <f>O63*F63</f>
        <v/>
      </c>
      <c r="R63" s="95">
        <f>Gia_dinh_Dau_vao!$C$23*C63*D63</f>
        <v/>
      </c>
      <c r="S63" s="95">
        <f>R63*Gia_dinh_Dau_vao!$C$17</f>
        <v/>
      </c>
      <c r="T63" s="95">
        <f>Gia_dinh_Dau_vao!$F$40*E63</f>
        <v/>
      </c>
      <c r="U63" s="95">
        <f>R63-S63-T63</f>
        <v/>
      </c>
      <c r="V63" s="95">
        <f>IF(A63&lt;=60, CAPEX_Dau_tu!$G$32/60, 0)</f>
        <v/>
      </c>
      <c r="W63" s="95">
        <f>U63-V63</f>
        <v/>
      </c>
      <c r="X63" s="95">
        <f>IF(W63&gt;0, W63*Gia_dinh_Dau_vao!$C$11, 0)</f>
        <v/>
      </c>
      <c r="Y63" s="95">
        <f>W63-X63</f>
        <v/>
      </c>
      <c r="Z63" s="95">
        <f>U63-X63</f>
        <v/>
      </c>
      <c r="AA63" s="95">
        <f>AA62+Z63</f>
        <v/>
      </c>
      <c r="AB63" s="95">
        <f>Z63*F63</f>
        <v/>
      </c>
      <c r="AC63" s="95">
        <f>Gia_dinh_Dau_vao!$C$24*C63*D63</f>
        <v/>
      </c>
      <c r="AD63" s="95">
        <f>AC63*Gia_dinh_Dau_vao!$C$17</f>
        <v/>
      </c>
      <c r="AE63" s="95">
        <f>Gia_dinh_Dau_vao!$F$40*E63</f>
        <v/>
      </c>
      <c r="AF63" s="95">
        <f>AC63-AD63-AE63</f>
        <v/>
      </c>
      <c r="AG63" s="95">
        <f>IF(A63&lt;=60, CAPEX_Dau_tu!$G$32/60, 0)</f>
        <v/>
      </c>
      <c r="AH63" s="95">
        <f>AF63-AG63</f>
        <v/>
      </c>
      <c r="AI63" s="95">
        <f>IF(AH63&gt;0, AH63*Gia_dinh_Dau_vao!$C$11, 0)</f>
        <v/>
      </c>
      <c r="AJ63" s="95">
        <f>AH63-AI63</f>
        <v/>
      </c>
      <c r="AK63" s="95">
        <f>AF63-AI63</f>
        <v/>
      </c>
      <c r="AL63" s="95">
        <f>AL62+AK63</f>
        <v/>
      </c>
      <c r="AM63" s="95">
        <f>AK63*F63</f>
        <v/>
      </c>
    </row>
    <row r="64" ht="20.1" customHeight="1" s="69">
      <c r="A64" s="19" t="n">
        <v>59</v>
      </c>
      <c r="B64" s="19">
        <f>INT((A64-1)/12)+1</f>
        <v/>
      </c>
      <c r="C64" s="111">
        <f>Gia_dinh_Dau_vao!$G$44</f>
        <v/>
      </c>
      <c r="D64" s="112">
        <f>(1+Gia_dinh_Dau_vao!$C$10)^(B64-1)</f>
        <v/>
      </c>
      <c r="E64" s="112">
        <f>(1+Gia_dinh_Dau_vao!$C$9)^(B64-1)</f>
        <v/>
      </c>
      <c r="F64" s="112">
        <f>1/(1+Gia_dinh_Dau_vao!$C$12)^(A64/12)</f>
        <v/>
      </c>
      <c r="G64" s="95">
        <f>Gia_dinh_Dau_vao!$C$22*C64*D64</f>
        <v/>
      </c>
      <c r="H64" s="95">
        <f>G64*Gia_dinh_Dau_vao!$C$17</f>
        <v/>
      </c>
      <c r="I64" s="95">
        <f>Gia_dinh_Dau_vao!$F$40*E64</f>
        <v/>
      </c>
      <c r="J64" s="95">
        <f>G64-H64-I64</f>
        <v/>
      </c>
      <c r="K64" s="95">
        <f>IF(A64&lt;=60, CAPEX_Dau_tu!$G$32/60, 0)</f>
        <v/>
      </c>
      <c r="L64" s="95">
        <f>J64-K64</f>
        <v/>
      </c>
      <c r="M64" s="95">
        <f>IF(L64&gt;0, L64*Gia_dinh_Dau_vao!$C$11, 0)</f>
        <v/>
      </c>
      <c r="N64" s="95">
        <f>L64-M64</f>
        <v/>
      </c>
      <c r="O64" s="95">
        <f>J64-M64</f>
        <v/>
      </c>
      <c r="P64" s="95">
        <f>P63+O64</f>
        <v/>
      </c>
      <c r="Q64" s="95">
        <f>O64*F64</f>
        <v/>
      </c>
      <c r="R64" s="95">
        <f>Gia_dinh_Dau_vao!$C$23*C64*D64</f>
        <v/>
      </c>
      <c r="S64" s="95">
        <f>R64*Gia_dinh_Dau_vao!$C$17</f>
        <v/>
      </c>
      <c r="T64" s="95">
        <f>Gia_dinh_Dau_vao!$F$40*E64</f>
        <v/>
      </c>
      <c r="U64" s="95">
        <f>R64-S64-T64</f>
        <v/>
      </c>
      <c r="V64" s="95">
        <f>IF(A64&lt;=60, CAPEX_Dau_tu!$G$32/60, 0)</f>
        <v/>
      </c>
      <c r="W64" s="95">
        <f>U64-V64</f>
        <v/>
      </c>
      <c r="X64" s="95">
        <f>IF(W64&gt;0, W64*Gia_dinh_Dau_vao!$C$11, 0)</f>
        <v/>
      </c>
      <c r="Y64" s="95">
        <f>W64-X64</f>
        <v/>
      </c>
      <c r="Z64" s="95">
        <f>U64-X64</f>
        <v/>
      </c>
      <c r="AA64" s="95">
        <f>AA63+Z64</f>
        <v/>
      </c>
      <c r="AB64" s="95">
        <f>Z64*F64</f>
        <v/>
      </c>
      <c r="AC64" s="95">
        <f>Gia_dinh_Dau_vao!$C$24*C64*D64</f>
        <v/>
      </c>
      <c r="AD64" s="95">
        <f>AC64*Gia_dinh_Dau_vao!$C$17</f>
        <v/>
      </c>
      <c r="AE64" s="95">
        <f>Gia_dinh_Dau_vao!$F$40*E64</f>
        <v/>
      </c>
      <c r="AF64" s="95">
        <f>AC64-AD64-AE64</f>
        <v/>
      </c>
      <c r="AG64" s="95">
        <f>IF(A64&lt;=60, CAPEX_Dau_tu!$G$32/60, 0)</f>
        <v/>
      </c>
      <c r="AH64" s="95">
        <f>AF64-AG64</f>
        <v/>
      </c>
      <c r="AI64" s="95">
        <f>IF(AH64&gt;0, AH64*Gia_dinh_Dau_vao!$C$11, 0)</f>
        <v/>
      </c>
      <c r="AJ64" s="95">
        <f>AH64-AI64</f>
        <v/>
      </c>
      <c r="AK64" s="95">
        <f>AF64-AI64</f>
        <v/>
      </c>
      <c r="AL64" s="95">
        <f>AL63+AK64</f>
        <v/>
      </c>
      <c r="AM64" s="95">
        <f>AK64*F64</f>
        <v/>
      </c>
    </row>
    <row r="65" ht="20.1" customHeight="1" s="69">
      <c r="A65" s="19" t="n">
        <v>60</v>
      </c>
      <c r="B65" s="19">
        <f>INT((A65-1)/12)+1</f>
        <v/>
      </c>
      <c r="C65" s="111">
        <f>Gia_dinh_Dau_vao!$G$44</f>
        <v/>
      </c>
      <c r="D65" s="112">
        <f>(1+Gia_dinh_Dau_vao!$C$10)^(B65-1)</f>
        <v/>
      </c>
      <c r="E65" s="112">
        <f>(1+Gia_dinh_Dau_vao!$C$9)^(B65-1)</f>
        <v/>
      </c>
      <c r="F65" s="112">
        <f>1/(1+Gia_dinh_Dau_vao!$C$12)^(A65/12)</f>
        <v/>
      </c>
      <c r="G65" s="95">
        <f>Gia_dinh_Dau_vao!$C$22*C65*D65</f>
        <v/>
      </c>
      <c r="H65" s="95">
        <f>G65*Gia_dinh_Dau_vao!$C$17</f>
        <v/>
      </c>
      <c r="I65" s="95">
        <f>Gia_dinh_Dau_vao!$F$40*E65</f>
        <v/>
      </c>
      <c r="J65" s="95">
        <f>G65-H65-I65</f>
        <v/>
      </c>
      <c r="K65" s="95">
        <f>IF(A65&lt;=60, CAPEX_Dau_tu!$G$32/60, 0)</f>
        <v/>
      </c>
      <c r="L65" s="95">
        <f>J65-K65</f>
        <v/>
      </c>
      <c r="M65" s="95">
        <f>IF(L65&gt;0, L65*Gia_dinh_Dau_vao!$C$11, 0)</f>
        <v/>
      </c>
      <c r="N65" s="95">
        <f>L65-M65</f>
        <v/>
      </c>
      <c r="O65" s="95">
        <f>J65-M65</f>
        <v/>
      </c>
      <c r="P65" s="95">
        <f>P64+O65</f>
        <v/>
      </c>
      <c r="Q65" s="95">
        <f>O65*F65</f>
        <v/>
      </c>
      <c r="R65" s="95">
        <f>Gia_dinh_Dau_vao!$C$23*C65*D65</f>
        <v/>
      </c>
      <c r="S65" s="95">
        <f>R65*Gia_dinh_Dau_vao!$C$17</f>
        <v/>
      </c>
      <c r="T65" s="95">
        <f>Gia_dinh_Dau_vao!$F$40*E65</f>
        <v/>
      </c>
      <c r="U65" s="95">
        <f>R65-S65-T65</f>
        <v/>
      </c>
      <c r="V65" s="95">
        <f>IF(A65&lt;=60, CAPEX_Dau_tu!$G$32/60, 0)</f>
        <v/>
      </c>
      <c r="W65" s="95">
        <f>U65-V65</f>
        <v/>
      </c>
      <c r="X65" s="95">
        <f>IF(W65&gt;0, W65*Gia_dinh_Dau_vao!$C$11, 0)</f>
        <v/>
      </c>
      <c r="Y65" s="95">
        <f>W65-X65</f>
        <v/>
      </c>
      <c r="Z65" s="95">
        <f>U65-X65</f>
        <v/>
      </c>
      <c r="AA65" s="95">
        <f>AA64+Z65</f>
        <v/>
      </c>
      <c r="AB65" s="95">
        <f>Z65*F65</f>
        <v/>
      </c>
      <c r="AC65" s="95">
        <f>Gia_dinh_Dau_vao!$C$24*C65*D65</f>
        <v/>
      </c>
      <c r="AD65" s="95">
        <f>AC65*Gia_dinh_Dau_vao!$C$17</f>
        <v/>
      </c>
      <c r="AE65" s="95">
        <f>Gia_dinh_Dau_vao!$F$40*E65</f>
        <v/>
      </c>
      <c r="AF65" s="95">
        <f>AC65-AD65-AE65</f>
        <v/>
      </c>
      <c r="AG65" s="95">
        <f>IF(A65&lt;=60, CAPEX_Dau_tu!$G$32/60, 0)</f>
        <v/>
      </c>
      <c r="AH65" s="95">
        <f>AF65-AG65</f>
        <v/>
      </c>
      <c r="AI65" s="95">
        <f>IF(AH65&gt;0, AH65*Gia_dinh_Dau_vao!$C$11, 0)</f>
        <v/>
      </c>
      <c r="AJ65" s="95">
        <f>AH65-AI65</f>
        <v/>
      </c>
      <c r="AK65" s="95">
        <f>AF65-AI65</f>
        <v/>
      </c>
      <c r="AL65" s="95">
        <f>AL64+AK65</f>
        <v/>
      </c>
      <c r="AM65" s="95">
        <f>AK65*F65</f>
        <v/>
      </c>
    </row>
    <row r="66" ht="24" customHeight="1" s="69">
      <c r="A66" s="82" t="inlineStr">
        <is>
          <t>TỔNG CỘNG 5 NĂM (THÁNG 1 - 60)</t>
        </is>
      </c>
      <c r="B66" s="113" t="n"/>
      <c r="C66" s="113" t="n"/>
      <c r="D66" s="113" t="n"/>
      <c r="E66" s="113" t="n"/>
      <c r="F66" s="114" t="n"/>
      <c r="G66" s="115">
        <f>SUM(G6:G65)</f>
        <v/>
      </c>
      <c r="H66" s="115">
        <f>SUM(H6:H65)</f>
        <v/>
      </c>
      <c r="I66" s="115">
        <f>SUM(I6:I65)</f>
        <v/>
      </c>
      <c r="J66" s="115">
        <f>SUM(J6:J65)</f>
        <v/>
      </c>
      <c r="K66" s="115">
        <f>SUM(K6:K65)</f>
        <v/>
      </c>
      <c r="L66" s="115">
        <f>SUM(L6:L65)</f>
        <v/>
      </c>
      <c r="M66" s="115">
        <f>SUM(M6:M65)</f>
        <v/>
      </c>
      <c r="N66" s="115">
        <f>SUM(N6:N65)</f>
        <v/>
      </c>
      <c r="O66" s="115">
        <f>SUM(O6:O65)</f>
        <v/>
      </c>
      <c r="P66" s="115">
        <f>P65</f>
        <v/>
      </c>
      <c r="Q66" s="115">
        <f>SUM(Q5:Q65)</f>
        <v/>
      </c>
      <c r="R66" s="115">
        <f>SUM(R6:R65)</f>
        <v/>
      </c>
      <c r="S66" s="115">
        <f>SUM(S6:S65)</f>
        <v/>
      </c>
      <c r="T66" s="115">
        <f>SUM(T6:T65)</f>
        <v/>
      </c>
      <c r="U66" s="115">
        <f>SUM(U6:U65)</f>
        <v/>
      </c>
      <c r="V66" s="115">
        <f>SUM(V6:V65)</f>
        <v/>
      </c>
      <c r="W66" s="115">
        <f>SUM(W6:W65)</f>
        <v/>
      </c>
      <c r="X66" s="115">
        <f>SUM(X6:X65)</f>
        <v/>
      </c>
      <c r="Y66" s="115">
        <f>SUM(Y6:Y65)</f>
        <v/>
      </c>
      <c r="Z66" s="115">
        <f>SUM(Z6:Z65)</f>
        <v/>
      </c>
      <c r="AA66" s="115">
        <f>AA65</f>
        <v/>
      </c>
      <c r="AB66" s="115">
        <f>SUM(AB5:AB65)</f>
        <v/>
      </c>
      <c r="AC66" s="115">
        <f>SUM(AC6:AC65)</f>
        <v/>
      </c>
      <c r="AD66" s="115">
        <f>SUM(AD6:AD65)</f>
        <v/>
      </c>
      <c r="AE66" s="115">
        <f>SUM(AE6:AE65)</f>
        <v/>
      </c>
      <c r="AF66" s="115">
        <f>SUM(AF6:AF65)</f>
        <v/>
      </c>
      <c r="AG66" s="115">
        <f>SUM(AG6:AG65)</f>
        <v/>
      </c>
      <c r="AH66" s="115">
        <f>SUM(AH6:AH65)</f>
        <v/>
      </c>
      <c r="AI66" s="115">
        <f>SUM(AI6:AI65)</f>
        <v/>
      </c>
      <c r="AJ66" s="115">
        <f>SUM(AJ6:AJ65)</f>
        <v/>
      </c>
      <c r="AK66" s="115">
        <f>SUM(AK6:AK65)</f>
        <v/>
      </c>
      <c r="AL66" s="115">
        <f>AL65</f>
        <v/>
      </c>
      <c r="AM66" s="115">
        <f>SUM(AM5:AM65)</f>
        <v/>
      </c>
    </row>
    <row r="67" ht="21.95" customHeight="1" s="69">
      <c r="A67" s="79" t="inlineStr">
        <is>
          <t>GIÁ TRỊ HIỆN TẠI THUẦN (NPV 5 NĂM, WACC 15%)</t>
        </is>
      </c>
      <c r="B67" s="116" t="n"/>
      <c r="C67" s="116" t="n"/>
      <c r="D67" s="116" t="n"/>
      <c r="E67" s="116" t="n"/>
      <c r="F67" s="117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118">
        <f>Q66</f>
        <v/>
      </c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  <c r="AA67" s="80" t="n"/>
      <c r="AB67" s="118">
        <f>AB66</f>
        <v/>
      </c>
      <c r="AC67" s="80" t="n"/>
      <c r="AD67" s="80" t="n"/>
      <c r="AE67" s="80" t="n"/>
      <c r="AF67" s="80" t="n"/>
      <c r="AG67" s="80" t="n"/>
      <c r="AH67" s="80" t="n"/>
      <c r="AI67" s="80" t="n"/>
      <c r="AJ67" s="80" t="n"/>
      <c r="AK67" s="80" t="n"/>
      <c r="AL67" s="80" t="n"/>
      <c r="AM67" s="118">
        <f>AM66</f>
        <v/>
      </c>
    </row>
    <row r="68" ht="21.95" customHeight="1" s="69">
      <c r="A68" s="79" t="inlineStr">
        <is>
          <t>TỶ SUẤT SINH LỜI NỘI BỘ (IRR NĂM)</t>
        </is>
      </c>
      <c r="B68" s="116" t="n"/>
      <c r="C68" s="116" t="n"/>
      <c r="D68" s="116" t="n"/>
      <c r="E68" s="116" t="n"/>
      <c r="F68" s="117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119">
        <f>(1+IRR(O5:O65))^12-1</f>
        <v/>
      </c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  <c r="AA68" s="80" t="n"/>
      <c r="AB68" s="119">
        <f>(1+IRR(Z5:Z65))^12-1</f>
        <v/>
      </c>
      <c r="AC68" s="80" t="n"/>
      <c r="AD68" s="80" t="n"/>
      <c r="AE68" s="80" t="n"/>
      <c r="AF68" s="80" t="n"/>
      <c r="AG68" s="80" t="n"/>
      <c r="AH68" s="80" t="n"/>
      <c r="AI68" s="80" t="n"/>
      <c r="AJ68" s="80" t="n"/>
      <c r="AK68" s="80" t="n"/>
      <c r="AL68" s="80" t="n"/>
      <c r="AM68" s="119">
        <f>(1+IRR(AK5:AK65))^12-1</f>
        <v/>
      </c>
    </row>
  </sheetData>
  <mergeCells count="9">
    <mergeCell ref="G3:Q3"/>
    <mergeCell ref="A1:AM1"/>
    <mergeCell ref="AC3:AM3"/>
    <mergeCell ref="A68:F68"/>
    <mergeCell ref="A66:F66"/>
    <mergeCell ref="A3:F3"/>
    <mergeCell ref="A67:F67"/>
    <mergeCell ref="A2:AM2"/>
    <mergeCell ref="R3:A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:H1"/>
    </sheetView>
  </sheetViews>
  <sheetFormatPr baseColWidth="8" defaultRowHeight="14.25" outlineLevelCol="0"/>
  <cols>
    <col width="8" customWidth="1" style="69" min="1" max="1"/>
    <col width="46" customWidth="1" style="69" min="2" max="2"/>
    <col width="10" customWidth="1" style="69" min="3" max="3"/>
    <col width="12" customWidth="1" style="69" min="4" max="4"/>
    <col width="16" customWidth="1" style="69" min="5" max="5"/>
    <col width="18" customWidth="1" style="69" min="6" max="6"/>
    <col width="22" customWidth="1" style="69" min="7" max="7"/>
    <col width="16" customWidth="1" style="69" min="8" max="8"/>
  </cols>
  <sheetData>
    <row r="1" ht="36" customHeight="1" s="69">
      <c r="A1" s="71" t="inlineStr">
        <is>
          <t>DỰ TOÁN VỐN ĐẦU TƯ BAN ĐẦU (CAPEX &amp; WORKING CAPITAL) — NHA KHOA PAKSE</t>
        </is>
      </c>
    </row>
    <row r="2" ht="20.1" customHeight="1" s="69">
      <c r="A2" s="74" t="inlineStr">
        <is>
          <t>Dữ liệu khớp 100% sheet CAPEX gốc từ mo_hinh_phong_kham_pakse.xlsx (Tổng vốn: $127.872,72 USD ~ 3,31 Tỷ VNĐ)</t>
        </is>
      </c>
    </row>
    <row r="4" ht="24" customHeight="1" s="69">
      <c r="A4" s="7" t="inlineStr">
        <is>
          <t>Mã</t>
        </is>
      </c>
      <c r="B4" s="7" t="inlineStr">
        <is>
          <t>Hạng mục đầu tư chi tiết</t>
        </is>
      </c>
      <c r="C4" s="7" t="inlineStr">
        <is>
          <t>Số lượng</t>
        </is>
      </c>
      <c r="D4" s="7" t="inlineStr">
        <is>
          <t>ĐVT</t>
        </is>
      </c>
      <c r="E4" s="7" t="inlineStr">
        <is>
          <t>Đơn giá (USD)</t>
        </is>
      </c>
      <c r="F4" s="7" t="inlineStr">
        <is>
          <t>Thành tiền (USD)</t>
        </is>
      </c>
      <c r="G4" s="7" t="inlineStr">
        <is>
          <t>Thành tiền (Triệu VND)</t>
        </is>
      </c>
      <c r="H4" s="7" t="inlineStr">
        <is>
          <t>Tính khấu hao?</t>
        </is>
      </c>
    </row>
    <row r="5" ht="21.95" customHeight="1" s="69">
      <c r="A5" s="68" t="inlineStr">
        <is>
          <t>A. PHÁP LÝ &amp; GIẤY PHÉP KHỞI TẠO</t>
        </is>
      </c>
    </row>
    <row r="6" ht="21.95" customHeight="1" s="69">
      <c r="A6" s="19" t="inlineStr">
        <is>
          <t>A01</t>
        </is>
      </c>
      <c r="B6" s="17" t="inlineStr">
        <is>
          <t>Pháp lý, đăng ký doanh nghiệp, giấy phép Sở Y tế</t>
        </is>
      </c>
      <c r="C6" s="44" t="n">
        <v>1</v>
      </c>
      <c r="D6" s="19" t="inlineStr">
        <is>
          <t>Gói</t>
        </is>
      </c>
      <c r="E6" s="105" t="n">
        <v>8000</v>
      </c>
      <c r="F6" s="120">
        <f>C6*E6</f>
        <v/>
      </c>
      <c r="G6" s="106">
        <f>F6*Gia_dinh_Dau_vao!$C$6/1000000</f>
        <v/>
      </c>
      <c r="H6" s="19" t="inlineStr">
        <is>
          <t>Có</t>
        </is>
      </c>
    </row>
    <row r="7" ht="21.95" customHeight="1" s="69">
      <c r="A7" s="68" t="inlineStr">
        <is>
          <t>B. CẢI TẠO &amp; CHỈNH TRANG MẶT BẰNG</t>
        </is>
      </c>
    </row>
    <row r="8" ht="21.95" customHeight="1" s="69">
      <c r="A8" s="19" t="inlineStr">
        <is>
          <t>B01</t>
        </is>
      </c>
      <c r="B8" s="17" t="inlineStr">
        <is>
          <t>Đặt cọc tiền thuê mặt bằng</t>
        </is>
      </c>
      <c r="C8" s="44" t="n">
        <v>12</v>
      </c>
      <c r="D8" s="19" t="inlineStr">
        <is>
          <t>Tháng</t>
        </is>
      </c>
      <c r="E8" s="105" t="n">
        <v>500</v>
      </c>
      <c r="F8" s="120">
        <f>C8*E8</f>
        <v/>
      </c>
      <c r="G8" s="106">
        <f>F8*Gia_dinh_Dau_vao!$C$6/1000000</f>
        <v/>
      </c>
      <c r="H8" s="19" t="inlineStr">
        <is>
          <t>Không</t>
        </is>
      </c>
    </row>
    <row r="9" ht="21.95" customHeight="1" s="69">
      <c r="A9" s="19" t="inlineStr">
        <is>
          <t>B02</t>
        </is>
      </c>
      <c r="B9" s="17" t="inlineStr">
        <is>
          <t>Thiết kế và xin phép thi công (100 m² x $10)</t>
        </is>
      </c>
      <c r="C9" s="44" t="n">
        <v>100</v>
      </c>
      <c r="D9" s="19" t="inlineStr">
        <is>
          <t>m²</t>
        </is>
      </c>
      <c r="E9" s="105" t="n">
        <v>10</v>
      </c>
      <c r="F9" s="120">
        <f>C9*E9</f>
        <v/>
      </c>
      <c r="G9" s="106">
        <f>F9*Gia_dinh_Dau_vao!$C$6/1000000</f>
        <v/>
      </c>
      <c r="H9" s="19" t="inlineStr">
        <is>
          <t>Có</t>
        </is>
      </c>
    </row>
    <row r="10" ht="21.95" customHeight="1" s="69">
      <c r="A10" s="19" t="inlineStr">
        <is>
          <t>B03</t>
        </is>
      </c>
      <c r="B10" s="17" t="inlineStr">
        <is>
          <t>Thi công cải tạo fit-out (100 m² x $20)</t>
        </is>
      </c>
      <c r="C10" s="44" t="n">
        <v>100</v>
      </c>
      <c r="D10" s="19" t="inlineStr">
        <is>
          <t>m²</t>
        </is>
      </c>
      <c r="E10" s="105" t="n">
        <v>20</v>
      </c>
      <c r="F10" s="120">
        <f>C10*E10</f>
        <v/>
      </c>
      <c r="G10" s="106">
        <f>F10*Gia_dinh_Dau_vao!$C$6/1000000</f>
        <v/>
      </c>
      <c r="H10" s="19" t="inlineStr">
        <is>
          <t>Có</t>
        </is>
      </c>
    </row>
    <row r="11" ht="21.95" customHeight="1" s="69">
      <c r="A11" s="68" t="inlineStr">
        <is>
          <t>C. TRANG THIẾT BỊ MÁY MÓC NHA KHOA CHUYÊN DỤNG</t>
        </is>
      </c>
    </row>
    <row r="12" ht="21.95" customHeight="1" s="69">
      <c r="A12" s="19" t="inlineStr">
        <is>
          <t>C01</t>
        </is>
      </c>
      <c r="B12" s="17" t="inlineStr">
        <is>
          <t>Ghế nha khoa đa năng cao cấp (3 bộ x $3.000)</t>
        </is>
      </c>
      <c r="C12" s="44" t="n">
        <v>3</v>
      </c>
      <c r="D12" s="19" t="inlineStr">
        <is>
          <t>Bộ</t>
        </is>
      </c>
      <c r="E12" s="105" t="n">
        <v>3000</v>
      </c>
      <c r="F12" s="120">
        <f>C12*E12</f>
        <v/>
      </c>
      <c r="G12" s="106">
        <f>F12*Gia_dinh_Dau_vao!$C$6/1000000</f>
        <v/>
      </c>
      <c r="H12" s="19" t="inlineStr">
        <is>
          <t>Có</t>
        </is>
      </c>
    </row>
    <row r="13" ht="21.95" customHeight="1" s="69">
      <c r="A13" s="19" t="inlineStr">
        <is>
          <t>C02</t>
        </is>
      </c>
      <c r="B13" s="17" t="inlineStr">
        <is>
          <t>Hệ thống máy nén khí và hút trung tâm</t>
        </is>
      </c>
      <c r="C13" s="44" t="n">
        <v>1</v>
      </c>
      <c r="D13" s="19" t="inlineStr">
        <is>
          <t>Hệ</t>
        </is>
      </c>
      <c r="E13" s="105" t="n">
        <v>1000</v>
      </c>
      <c r="F13" s="120">
        <f>C13*E13</f>
        <v/>
      </c>
      <c r="G13" s="106">
        <f>F13*Gia_dinh_Dau_vao!$C$6/1000000</f>
        <v/>
      </c>
      <c r="H13" s="19" t="inlineStr">
        <is>
          <t>Có</t>
        </is>
      </c>
    </row>
    <row r="14" ht="21.95" customHeight="1" s="69">
      <c r="A14" s="19" t="inlineStr">
        <is>
          <t>C03</t>
        </is>
      </c>
      <c r="B14" s="17" t="inlineStr">
        <is>
          <t>Máy chụp X-quang cận chóp</t>
        </is>
      </c>
      <c r="C14" s="44" t="n">
        <v>1</v>
      </c>
      <c r="D14" s="19" t="inlineStr">
        <is>
          <t>Bộ</t>
        </is>
      </c>
      <c r="E14" s="105" t="n">
        <v>2000</v>
      </c>
      <c r="F14" s="120">
        <f>C14*E14</f>
        <v/>
      </c>
      <c r="G14" s="106">
        <f>F14*Gia_dinh_Dau_vao!$C$6/1000000</f>
        <v/>
      </c>
      <c r="H14" s="19" t="inlineStr">
        <is>
          <t>Có</t>
        </is>
      </c>
    </row>
    <row r="15" ht="21.95" customHeight="1" s="69">
      <c r="A15" s="19" t="inlineStr">
        <is>
          <t>C04</t>
        </is>
      </c>
      <c r="B15" s="17" t="inlineStr">
        <is>
          <t>Máy chụp X-quang toàn cảnh (Panorama CT)</t>
        </is>
      </c>
      <c r="C15" s="44" t="n">
        <v>1</v>
      </c>
      <c r="D15" s="19" t="inlineStr">
        <is>
          <t>Máy</t>
        </is>
      </c>
      <c r="E15" s="105" t="n">
        <v>40000</v>
      </c>
      <c r="F15" s="120">
        <f>C15*E15</f>
        <v/>
      </c>
      <c r="G15" s="106">
        <f>F15*Gia_dinh_Dau_vao!$C$6/1000000</f>
        <v/>
      </c>
      <c r="H15" s="19" t="inlineStr">
        <is>
          <t>Có</t>
        </is>
      </c>
    </row>
    <row r="16" ht="21.95" customHeight="1" s="69">
      <c r="A16" s="19" t="inlineStr">
        <is>
          <t>C05</t>
        </is>
      </c>
      <c r="B16" s="17" t="inlineStr">
        <is>
          <t>Nồi hấp tiệt trùng, khu vô trùng</t>
        </is>
      </c>
      <c r="C16" s="44" t="n">
        <v>1</v>
      </c>
      <c r="D16" s="19" t="inlineStr">
        <is>
          <t>Hệ</t>
        </is>
      </c>
      <c r="E16" s="105" t="n">
        <v>1000</v>
      </c>
      <c r="F16" s="120">
        <f>C16*E16</f>
        <v/>
      </c>
      <c r="G16" s="106">
        <f>F16*Gia_dinh_Dau_vao!$C$6/1000000</f>
        <v/>
      </c>
      <c r="H16" s="19" t="inlineStr">
        <is>
          <t>Có</t>
        </is>
      </c>
    </row>
    <row r="17" ht="21.95" customHeight="1" s="69">
      <c r="A17" s="19" t="inlineStr">
        <is>
          <t>C06</t>
        </is>
      </c>
      <c r="B17" s="17" t="inlineStr">
        <is>
          <t>Dụng cụ khám chữa, tay khoan (3 bộ x $1.500)</t>
        </is>
      </c>
      <c r="C17" s="44" t="n">
        <v>3</v>
      </c>
      <c r="D17" s="19" t="inlineStr">
        <is>
          <t>Bộ</t>
        </is>
      </c>
      <c r="E17" s="105" t="n">
        <v>1500</v>
      </c>
      <c r="F17" s="120">
        <f>C17*E17</f>
        <v/>
      </c>
      <c r="G17" s="106">
        <f>F17*Gia_dinh_Dau_vao!$C$6/1000000</f>
        <v/>
      </c>
      <c r="H17" s="19" t="inlineStr">
        <is>
          <t>Có</t>
        </is>
      </c>
    </row>
    <row r="18" ht="21.95" customHeight="1" s="69">
      <c r="A18" s="68" t="inlineStr">
        <is>
          <t>D. NỘI THẤT, CNTT &amp; LOGISTICS</t>
        </is>
      </c>
    </row>
    <row r="19" ht="21.95" customHeight="1" s="69">
      <c r="A19" s="19" t="inlineStr">
        <is>
          <t>D01</t>
        </is>
      </c>
      <c r="B19" s="17" t="inlineStr">
        <is>
          <t>Nội thất, máy vi tính, CNTT, phần mềm quản lý</t>
        </is>
      </c>
      <c r="C19" s="44" t="n">
        <v>1</v>
      </c>
      <c r="D19" s="19" t="inlineStr">
        <is>
          <t>Gói</t>
        </is>
      </c>
      <c r="E19" s="105" t="n">
        <v>5500</v>
      </c>
      <c r="F19" s="120">
        <f>C19*E19</f>
        <v/>
      </c>
      <c r="G19" s="106">
        <f>F19*Gia_dinh_Dau_vao!$C$6/1000000</f>
        <v/>
      </c>
      <c r="H19" s="19" t="inlineStr">
        <is>
          <t>Có</t>
        </is>
      </c>
    </row>
    <row r="20" ht="21.95" customHeight="1" s="69">
      <c r="A20" s="19" t="inlineStr">
        <is>
          <t>D02</t>
        </is>
      </c>
      <c r="B20" s="17" t="inlineStr">
        <is>
          <t>Biển hiệu, nhận diện thương hiệu ngoài trời</t>
        </is>
      </c>
      <c r="C20" s="44" t="n">
        <v>1</v>
      </c>
      <c r="D20" s="19" t="inlineStr">
        <is>
          <t>Bộ</t>
        </is>
      </c>
      <c r="E20" s="105" t="n">
        <v>2500</v>
      </c>
      <c r="F20" s="120">
        <f>C20*E20</f>
        <v/>
      </c>
      <c r="G20" s="106">
        <f>F20*Gia_dinh_Dau_vao!$C$6/1000000</f>
        <v/>
      </c>
      <c r="H20" s="19" t="inlineStr">
        <is>
          <t>Có</t>
        </is>
      </c>
    </row>
    <row r="21" ht="21.95" customHeight="1" s="69">
      <c r="A21" s="19" t="inlineStr">
        <is>
          <t>D03</t>
        </is>
      </c>
      <c r="B21" s="17" t="inlineStr">
        <is>
          <t>Cước vận chuyển, bảo hiểm thiết bị (4%)</t>
        </is>
      </c>
      <c r="C21" s="44" t="n">
        <v>1</v>
      </c>
      <c r="D21" s="19" t="inlineStr">
        <is>
          <t>Gói</t>
        </is>
      </c>
      <c r="E21" s="105" t="n">
        <v>2620</v>
      </c>
      <c r="F21" s="120">
        <f>C21*E21</f>
        <v/>
      </c>
      <c r="G21" s="106">
        <f>F21*Gia_dinh_Dau_vao!$C$6/1000000</f>
        <v/>
      </c>
      <c r="H21" s="19" t="inlineStr">
        <is>
          <t>Có</t>
        </is>
      </c>
    </row>
    <row r="22" ht="21.95" customHeight="1" s="69">
      <c r="A22" s="19" t="inlineStr">
        <is>
          <t>D04</t>
        </is>
      </c>
      <c r="B22" s="17" t="inlineStr">
        <is>
          <t>Thuế nhập khẩu thiết bị (2%)</t>
        </is>
      </c>
      <c r="C22" s="44" t="n">
        <v>1</v>
      </c>
      <c r="D22" s="19" t="inlineStr">
        <is>
          <t>Gói</t>
        </is>
      </c>
      <c r="E22" s="105" t="n">
        <v>1362.4</v>
      </c>
      <c r="F22" s="120">
        <f>C22*E22</f>
        <v/>
      </c>
      <c r="G22" s="106">
        <f>F22*Gia_dinh_Dau_vao!$C$6/1000000</f>
        <v/>
      </c>
      <c r="H22" s="19" t="inlineStr">
        <is>
          <t>Có</t>
        </is>
      </c>
    </row>
    <row r="23" ht="21.95" customHeight="1" s="69">
      <c r="A23" s="19" t="inlineStr">
        <is>
          <t>D05</t>
        </is>
      </c>
      <c r="B23" s="17" t="inlineStr">
        <is>
          <t>VAT nhập khẩu (10%)</t>
        </is>
      </c>
      <c r="C23" s="44" t="n">
        <v>1</v>
      </c>
      <c r="D23" s="19" t="inlineStr">
        <is>
          <t>Gói</t>
        </is>
      </c>
      <c r="E23" s="105" t="n">
        <v>6948.24</v>
      </c>
      <c r="F23" s="120">
        <f>C23*E23</f>
        <v/>
      </c>
      <c r="G23" s="106">
        <f>F23*Gia_dinh_Dau_vao!$C$6/1000000</f>
        <v/>
      </c>
      <c r="H23" s="19" t="inlineStr">
        <is>
          <t>Có</t>
        </is>
      </c>
    </row>
    <row r="24" ht="21.95" customHeight="1" s="69">
      <c r="A24" s="19" t="inlineStr">
        <is>
          <t>D06</t>
        </is>
      </c>
      <c r="B24" s="17" t="inlineStr">
        <is>
          <t>Phí hải quan, forwarder thông quan</t>
        </is>
      </c>
      <c r="C24" s="44" t="n">
        <v>1</v>
      </c>
      <c r="D24" s="19" t="inlineStr">
        <is>
          <t>Chuyến</t>
        </is>
      </c>
      <c r="E24" s="105" t="n">
        <v>800</v>
      </c>
      <c r="F24" s="120">
        <f>C24*E24</f>
        <v/>
      </c>
      <c r="G24" s="106">
        <f>F24*Gia_dinh_Dau_vao!$C$6/1000000</f>
        <v/>
      </c>
      <c r="H24" s="19" t="inlineStr">
        <is>
          <t>Có</t>
        </is>
      </c>
    </row>
    <row r="25" ht="21.95" customHeight="1" s="69">
      <c r="A25" s="68" t="inlineStr">
        <is>
          <t>E. VỐN LƯU ĐỘNG &amp; DỰ PHÒNG KHỞI TẠO</t>
        </is>
      </c>
    </row>
    <row r="26" ht="21.95" customHeight="1" s="69">
      <c r="A26" s="19" t="inlineStr">
        <is>
          <t>E01</t>
        </is>
      </c>
      <c r="B26" s="17" t="inlineStr">
        <is>
          <t>Lương nhân sự trước khai trương (1 tháng)</t>
        </is>
      </c>
      <c r="C26" s="44" t="n">
        <v>1</v>
      </c>
      <c r="D26" s="19" t="inlineStr">
        <is>
          <t>Tháng</t>
        </is>
      </c>
      <c r="E26" s="105" t="n">
        <v>6842.39</v>
      </c>
      <c r="F26" s="120">
        <f>C26*E26</f>
        <v/>
      </c>
      <c r="G26" s="106">
        <f>F26*Gia_dinh_Dau_vao!$C$6/1000000</f>
        <v/>
      </c>
      <c r="H26" s="19" t="inlineStr">
        <is>
          <t>Không</t>
        </is>
      </c>
    </row>
    <row r="27" ht="21.95" customHeight="1" s="69">
      <c r="A27" s="19" t="inlineStr">
        <is>
          <t>E02</t>
        </is>
      </c>
      <c r="B27" s="17" t="inlineStr">
        <is>
          <t>Chiến dịch marketing trước khai trương</t>
        </is>
      </c>
      <c r="C27" s="44" t="n">
        <v>1</v>
      </c>
      <c r="D27" s="19" t="inlineStr">
        <is>
          <t>Chiến dịch</t>
        </is>
      </c>
      <c r="E27" s="105" t="n">
        <v>3000</v>
      </c>
      <c r="F27" s="120">
        <f>C27*E27</f>
        <v/>
      </c>
      <c r="G27" s="106">
        <f>F27*Gia_dinh_Dau_vao!$C$6/1000000</f>
        <v/>
      </c>
      <c r="H27" s="19" t="inlineStr">
        <is>
          <t>Không</t>
        </is>
      </c>
    </row>
    <row r="28" ht="21.95" customHeight="1" s="69">
      <c r="A28" s="19" t="inlineStr">
        <is>
          <t>E03</t>
        </is>
      </c>
      <c r="B28" s="17" t="inlineStr">
        <is>
          <t>Vật tư tiêu hao tồn kho ban đầu</t>
        </is>
      </c>
      <c r="C28" s="44" t="n">
        <v>1</v>
      </c>
      <c r="D28" s="19" t="inlineStr">
        <is>
          <t>Gói</t>
        </is>
      </c>
      <c r="E28" s="105" t="n">
        <v>6000</v>
      </c>
      <c r="F28" s="120">
        <f>C28*E28</f>
        <v/>
      </c>
      <c r="G28" s="106">
        <f>F28*Gia_dinh_Dau_vao!$C$6/1000000</f>
        <v/>
      </c>
      <c r="H28" s="19" t="inlineStr">
        <is>
          <t>Không</t>
        </is>
      </c>
    </row>
    <row r="29" ht="21.95" customHeight="1" s="69">
      <c r="A29" s="19" t="inlineStr">
        <is>
          <t>E04</t>
        </is>
      </c>
      <c r="B29" s="17" t="inlineStr">
        <is>
          <t>Dự phòng phát sinh (10%)</t>
        </is>
      </c>
      <c r="C29" s="44" t="n">
        <v>1</v>
      </c>
      <c r="D29" s="19" t="inlineStr">
        <is>
          <t>Gói</t>
        </is>
      </c>
      <c r="E29" s="105" t="n">
        <v>10407.3</v>
      </c>
      <c r="F29" s="120">
        <f>C29*E29</f>
        <v/>
      </c>
      <c r="G29" s="106">
        <f>F29*Gia_dinh_Dau_vao!$C$6/1000000</f>
        <v/>
      </c>
      <c r="H29" s="19" t="inlineStr">
        <is>
          <t>Không</t>
        </is>
      </c>
    </row>
    <row r="30" ht="21.95" customHeight="1" s="69">
      <c r="A30" s="19" t="inlineStr">
        <is>
          <t>E05</t>
        </is>
      </c>
      <c r="B30" s="17" t="inlineStr">
        <is>
          <t>Vốn lưu động dự trữ ban đầu (1 tháng chi phí cố định)</t>
        </is>
      </c>
      <c r="C30" s="44" t="n">
        <v>1</v>
      </c>
      <c r="D30" s="19" t="inlineStr">
        <is>
          <t>Gói</t>
        </is>
      </c>
      <c r="E30" s="105" t="n">
        <v>13392.39</v>
      </c>
      <c r="F30" s="120">
        <f>C30*E30</f>
        <v/>
      </c>
      <c r="G30" s="106">
        <f>F30*Gia_dinh_Dau_vao!$C$6/1000000</f>
        <v/>
      </c>
      <c r="H30" s="19" t="inlineStr">
        <is>
          <t>Không</t>
        </is>
      </c>
    </row>
    <row r="31" ht="24.95" customHeight="1" s="69">
      <c r="A31" s="82" t="inlineStr">
        <is>
          <t>TỔNG CỘNG VỐN ĐẦU TƯ BAN ĐẦU CẦN HUY ĐỘNG (CAPEX!D27)</t>
        </is>
      </c>
      <c r="B31" s="113" t="n"/>
      <c r="C31" s="113" t="n"/>
      <c r="D31" s="114" t="n"/>
      <c r="E31" s="85" t="n"/>
      <c r="F31" s="107">
        <f>F6+F8+F9+F10+F12+F13+F14+F15+F16+F17+F19+F20+F21+F22+F23+F24+F26+F27+F28+F29+F30</f>
        <v/>
      </c>
      <c r="G31" s="108">
        <f>G6+G8+G9+G10+G12+G13+G14+G15+G16+G17+G19+G20+G21+G22+G23+G24+G26+G27+G28+G29+G30</f>
        <v/>
      </c>
      <c r="H31" s="85" t="n"/>
    </row>
    <row r="32" ht="21.95" customHeight="1" s="69">
      <c r="A32" s="86" t="inlineStr">
        <is>
          <t>Trong đó: Cơ sở tính khấu hao (Thiết bị, cải tạo, pháp lý, thuế NK - 60 tháng)</t>
        </is>
      </c>
      <c r="B32" s="116" t="n"/>
      <c r="C32" s="116" t="n"/>
      <c r="D32" s="117" t="n"/>
      <c r="E32" s="87" t="n"/>
      <c r="F32" s="121">
        <f>F6+F9+F10+F12+F13+F14+F15+F16+F17+F19+F20+F21+F22+F23+F24</f>
        <v/>
      </c>
      <c r="G32" s="122">
        <f>G6+G9+G10+G12+G13+G14+G15+G16+G17+G19+G20+G21+G22+G23+G24</f>
        <v/>
      </c>
      <c r="H32" s="63" t="inlineStr">
        <is>
          <t>Khấu hao 5 năm</t>
        </is>
      </c>
    </row>
  </sheetData>
  <mergeCells count="9">
    <mergeCell ref="A18:H18"/>
    <mergeCell ref="A1:H1"/>
    <mergeCell ref="A31:D31"/>
    <mergeCell ref="A7:H7"/>
    <mergeCell ref="A25:H25"/>
    <mergeCell ref="A2:H2"/>
    <mergeCell ref="A11:H11"/>
    <mergeCell ref="A5:H5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2026-10-12T09:40:36Z</dcterms:created>
  <dcterms:modified xmlns:dcterms="http://purl.org/dc/terms/" xmlns:xsi="http://www.w3.org/2001/XMLSchema-instance" xsi:type="dcterms:W3CDTF">2026-10-13T10:01:27Z</dcterms:modified>
  <cp:lastModifiedBy>Thang Langg</cp:lastModifiedBy>
</cp:coreProperties>
</file>