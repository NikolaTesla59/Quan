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DU_AN_NHA_KHOA_PAKSE\Dự án\"/>
    </mc:Choice>
  </mc:AlternateContent>
  <xr:revisionPtr revIDLastSave="0" documentId="8_{2531708D-DD13-4D9F-BAF8-447B9D224F7F}" xr6:coauthVersionLast="47" xr6:coauthVersionMax="47" xr10:uidLastSave="{00000000-0000-0000-0000-000000000000}"/>
  <bookViews>
    <workbookView xWindow="-120" yWindow="-120" windowWidth="20730" windowHeight="11160" firstSheet="8" activeTab="9" xr2:uid="{00000000-000D-0000-FFFF-FFFF00000000}"/>
  </bookViews>
  <sheets>
    <sheet name="01_Doc_truoc" sheetId="1" r:id="rId1"/>
    <sheet name="02_Executive_Dashboard" sheetId="2" r:id="rId2"/>
    <sheet name="03_Gia_dinh_Vi_mo" sheetId="3" r:id="rId3"/>
    <sheet name="04_Co_cau_Doanh_thu" sheetId="4" r:id="rId4"/>
    <sheet name="05_Chi_phi_Van_hanh" sheetId="5" r:id="rId5"/>
    <sheet name="06_CAPEX_Dau_tu" sheetId="6" r:id="rId6"/>
    <sheet name="07_Dong_tien_60T" sheetId="7" r:id="rId7"/>
    <sheet name="08_Phan_tich_Hoan_von" sheetId="8" r:id="rId8"/>
    <sheet name="09_Phan_tich_Do_nhay" sheetId="9" r:id="rId9"/>
    <sheet name="10_Kiem_tra_Dung_luong" sheetId="10" r:id="rId10"/>
    <sheet name="11_Nguon_Tai_lieu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0" l="1"/>
  <c r="F15" i="10"/>
  <c r="F14" i="10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D10" i="8"/>
  <c r="G7" i="8"/>
  <c r="F7" i="8"/>
  <c r="E7" i="8"/>
  <c r="F65" i="7"/>
  <c r="C65" i="7"/>
  <c r="B65" i="7"/>
  <c r="E65" i="7" s="1"/>
  <c r="F64" i="7"/>
  <c r="D64" i="7"/>
  <c r="C64" i="7"/>
  <c r="B64" i="7"/>
  <c r="E64" i="7" s="1"/>
  <c r="F63" i="7"/>
  <c r="D63" i="7"/>
  <c r="C63" i="7"/>
  <c r="B63" i="7"/>
  <c r="E63" i="7" s="1"/>
  <c r="F62" i="7"/>
  <c r="D62" i="7"/>
  <c r="C62" i="7"/>
  <c r="B62" i="7"/>
  <c r="E62" i="7" s="1"/>
  <c r="F61" i="7"/>
  <c r="D61" i="7"/>
  <c r="C61" i="7"/>
  <c r="B61" i="7"/>
  <c r="E61" i="7" s="1"/>
  <c r="F60" i="7"/>
  <c r="E60" i="7"/>
  <c r="D60" i="7"/>
  <c r="C60" i="7"/>
  <c r="B60" i="7"/>
  <c r="F59" i="7"/>
  <c r="E59" i="7"/>
  <c r="C59" i="7"/>
  <c r="B59" i="7"/>
  <c r="D59" i="7" s="1"/>
  <c r="F58" i="7"/>
  <c r="E58" i="7"/>
  <c r="D58" i="7"/>
  <c r="C58" i="7"/>
  <c r="B58" i="7"/>
  <c r="F57" i="7"/>
  <c r="E57" i="7"/>
  <c r="C57" i="7"/>
  <c r="B57" i="7"/>
  <c r="D57" i="7" s="1"/>
  <c r="F56" i="7"/>
  <c r="E56" i="7"/>
  <c r="C56" i="7"/>
  <c r="B56" i="7"/>
  <c r="D56" i="7" s="1"/>
  <c r="F55" i="7"/>
  <c r="E55" i="7"/>
  <c r="C55" i="7"/>
  <c r="B55" i="7"/>
  <c r="D55" i="7" s="1"/>
  <c r="F54" i="7"/>
  <c r="C54" i="7"/>
  <c r="B54" i="7"/>
  <c r="E54" i="7" s="1"/>
  <c r="F53" i="7"/>
  <c r="E53" i="7"/>
  <c r="D53" i="7"/>
  <c r="C53" i="7"/>
  <c r="B53" i="7"/>
  <c r="F52" i="7"/>
  <c r="E52" i="7"/>
  <c r="C52" i="7"/>
  <c r="B52" i="7"/>
  <c r="D52" i="7" s="1"/>
  <c r="F51" i="7"/>
  <c r="E51" i="7"/>
  <c r="D51" i="7"/>
  <c r="C51" i="7"/>
  <c r="B51" i="7"/>
  <c r="F50" i="7"/>
  <c r="E50" i="7"/>
  <c r="C50" i="7"/>
  <c r="B50" i="7"/>
  <c r="D50" i="7" s="1"/>
  <c r="F49" i="7"/>
  <c r="E49" i="7"/>
  <c r="D49" i="7"/>
  <c r="C49" i="7"/>
  <c r="B49" i="7"/>
  <c r="F48" i="7"/>
  <c r="E48" i="7"/>
  <c r="C48" i="7"/>
  <c r="B48" i="7"/>
  <c r="D48" i="7" s="1"/>
  <c r="F47" i="7"/>
  <c r="E47" i="7"/>
  <c r="D47" i="7"/>
  <c r="C47" i="7"/>
  <c r="B47" i="7"/>
  <c r="F46" i="7"/>
  <c r="E46" i="7"/>
  <c r="C46" i="7"/>
  <c r="B46" i="7"/>
  <c r="D46" i="7" s="1"/>
  <c r="F45" i="7"/>
  <c r="E45" i="7"/>
  <c r="D45" i="7"/>
  <c r="C45" i="7"/>
  <c r="B45" i="7"/>
  <c r="F44" i="7"/>
  <c r="C44" i="7"/>
  <c r="B44" i="7"/>
  <c r="F43" i="7"/>
  <c r="E43" i="7"/>
  <c r="D43" i="7"/>
  <c r="C43" i="7"/>
  <c r="B43" i="7"/>
  <c r="F42" i="7"/>
  <c r="C42" i="7"/>
  <c r="B42" i="7"/>
  <c r="F41" i="7"/>
  <c r="D41" i="7"/>
  <c r="C41" i="7"/>
  <c r="B41" i="7"/>
  <c r="E41" i="7" s="1"/>
  <c r="F40" i="7"/>
  <c r="C40" i="7"/>
  <c r="B40" i="7"/>
  <c r="F39" i="7"/>
  <c r="D39" i="7"/>
  <c r="C39" i="7"/>
  <c r="B39" i="7"/>
  <c r="E39" i="7" s="1"/>
  <c r="F38" i="7"/>
  <c r="C38" i="7"/>
  <c r="B38" i="7"/>
  <c r="F37" i="7"/>
  <c r="D37" i="7"/>
  <c r="C37" i="7"/>
  <c r="B37" i="7"/>
  <c r="E37" i="7" s="1"/>
  <c r="F36" i="7"/>
  <c r="C36" i="7"/>
  <c r="B36" i="7"/>
  <c r="F35" i="7"/>
  <c r="D35" i="7"/>
  <c r="C35" i="7"/>
  <c r="B35" i="7"/>
  <c r="E35" i="7" s="1"/>
  <c r="F34" i="7"/>
  <c r="C34" i="7"/>
  <c r="B34" i="7"/>
  <c r="F33" i="7"/>
  <c r="D33" i="7"/>
  <c r="C33" i="7"/>
  <c r="B33" i="7"/>
  <c r="E33" i="7" s="1"/>
  <c r="F32" i="7"/>
  <c r="C32" i="7"/>
  <c r="B32" i="7"/>
  <c r="F31" i="7"/>
  <c r="D31" i="7"/>
  <c r="C31" i="7"/>
  <c r="B31" i="7"/>
  <c r="E31" i="7" s="1"/>
  <c r="F30" i="7"/>
  <c r="C30" i="7"/>
  <c r="B30" i="7"/>
  <c r="F29" i="7"/>
  <c r="D29" i="7"/>
  <c r="C29" i="7"/>
  <c r="B29" i="7"/>
  <c r="E29" i="7" s="1"/>
  <c r="F28" i="7"/>
  <c r="C28" i="7"/>
  <c r="B28" i="7"/>
  <c r="F27" i="7"/>
  <c r="E27" i="7"/>
  <c r="C27" i="7"/>
  <c r="B27" i="7"/>
  <c r="D27" i="7" s="1"/>
  <c r="F26" i="7"/>
  <c r="E26" i="7"/>
  <c r="C26" i="7"/>
  <c r="B26" i="7"/>
  <c r="D26" i="7" s="1"/>
  <c r="F25" i="7"/>
  <c r="E25" i="7"/>
  <c r="C25" i="7"/>
  <c r="B25" i="7"/>
  <c r="D25" i="7" s="1"/>
  <c r="F24" i="7"/>
  <c r="E24" i="7"/>
  <c r="C24" i="7"/>
  <c r="B24" i="7"/>
  <c r="D24" i="7" s="1"/>
  <c r="F23" i="7"/>
  <c r="E23" i="7"/>
  <c r="C23" i="7"/>
  <c r="B23" i="7"/>
  <c r="D23" i="7" s="1"/>
  <c r="F22" i="7"/>
  <c r="D22" i="7"/>
  <c r="C22" i="7"/>
  <c r="B22" i="7"/>
  <c r="E22" i="7" s="1"/>
  <c r="F21" i="7"/>
  <c r="E21" i="7"/>
  <c r="C21" i="7"/>
  <c r="B21" i="7"/>
  <c r="D21" i="7" s="1"/>
  <c r="F20" i="7"/>
  <c r="D20" i="7"/>
  <c r="C20" i="7"/>
  <c r="B20" i="7"/>
  <c r="E20" i="7" s="1"/>
  <c r="F19" i="7"/>
  <c r="E19" i="7"/>
  <c r="C19" i="7"/>
  <c r="B19" i="7"/>
  <c r="D19" i="7" s="1"/>
  <c r="F18" i="7"/>
  <c r="D18" i="7"/>
  <c r="C18" i="7"/>
  <c r="B18" i="7"/>
  <c r="E18" i="7" s="1"/>
  <c r="F17" i="7"/>
  <c r="E17" i="7"/>
  <c r="C17" i="7"/>
  <c r="B27" i="8" s="1"/>
  <c r="B17" i="7"/>
  <c r="D17" i="7" s="1"/>
  <c r="F16" i="7"/>
  <c r="E16" i="7"/>
  <c r="D16" i="7"/>
  <c r="C16" i="7"/>
  <c r="B26" i="8" s="1"/>
  <c r="B16" i="7"/>
  <c r="F15" i="7"/>
  <c r="E15" i="7"/>
  <c r="C15" i="7"/>
  <c r="B25" i="8" s="1"/>
  <c r="B15" i="7"/>
  <c r="D15" i="7" s="1"/>
  <c r="F14" i="7"/>
  <c r="E14" i="7"/>
  <c r="D14" i="7"/>
  <c r="C14" i="7"/>
  <c r="B24" i="8" s="1"/>
  <c r="B14" i="7"/>
  <c r="F13" i="7"/>
  <c r="E13" i="7"/>
  <c r="C13" i="7"/>
  <c r="B23" i="8" s="1"/>
  <c r="B13" i="7"/>
  <c r="D13" i="7" s="1"/>
  <c r="F12" i="7"/>
  <c r="C12" i="7"/>
  <c r="B22" i="8" s="1"/>
  <c r="B12" i="7"/>
  <c r="E12" i="7" s="1"/>
  <c r="F11" i="7"/>
  <c r="C11" i="7"/>
  <c r="B21" i="8" s="1"/>
  <c r="B11" i="7"/>
  <c r="F10" i="7"/>
  <c r="D10" i="7"/>
  <c r="C10" i="7"/>
  <c r="B20" i="8" s="1"/>
  <c r="B10" i="7"/>
  <c r="E10" i="7" s="1"/>
  <c r="F9" i="7"/>
  <c r="C9" i="7"/>
  <c r="B19" i="8" s="1"/>
  <c r="B9" i="7"/>
  <c r="F8" i="7"/>
  <c r="D8" i="7"/>
  <c r="C8" i="7"/>
  <c r="B18" i="8" s="1"/>
  <c r="B8" i="7"/>
  <c r="E8" i="7" s="1"/>
  <c r="R7" i="7"/>
  <c r="S7" i="7" s="1"/>
  <c r="F7" i="7"/>
  <c r="E7" i="7"/>
  <c r="C7" i="7"/>
  <c r="B17" i="8" s="1"/>
  <c r="B7" i="7"/>
  <c r="D7" i="7" s="1"/>
  <c r="F6" i="7"/>
  <c r="D6" i="7"/>
  <c r="C6" i="7"/>
  <c r="B16" i="8" s="1"/>
  <c r="B6" i="7"/>
  <c r="E6" i="7" s="1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G28" i="6" s="1"/>
  <c r="G32" i="6" s="1"/>
  <c r="F8" i="6"/>
  <c r="F28" i="6" s="1"/>
  <c r="F32" i="6" s="1"/>
  <c r="G7" i="6"/>
  <c r="F7" i="6"/>
  <c r="G6" i="6"/>
  <c r="F6" i="6"/>
  <c r="G5" i="6"/>
  <c r="F5" i="6"/>
  <c r="G20" i="5"/>
  <c r="F20" i="5"/>
  <c r="G19" i="5"/>
  <c r="F19" i="5"/>
  <c r="G18" i="5"/>
  <c r="F18" i="5"/>
  <c r="G17" i="5"/>
  <c r="F17" i="5"/>
  <c r="G16" i="5"/>
  <c r="G21" i="5" s="1"/>
  <c r="F16" i="5"/>
  <c r="F21" i="5" s="1"/>
  <c r="C12" i="5"/>
  <c r="G11" i="5"/>
  <c r="F11" i="5"/>
  <c r="F10" i="5"/>
  <c r="G10" i="5" s="1"/>
  <c r="G9" i="5"/>
  <c r="F9" i="5"/>
  <c r="F8" i="5"/>
  <c r="G8" i="5" s="1"/>
  <c r="G7" i="5"/>
  <c r="F7" i="5"/>
  <c r="F6" i="5"/>
  <c r="F13" i="4"/>
  <c r="E13" i="4"/>
  <c r="D12" i="4"/>
  <c r="D11" i="4"/>
  <c r="D10" i="4"/>
  <c r="D9" i="4"/>
  <c r="D8" i="4"/>
  <c r="D7" i="4"/>
  <c r="D6" i="4"/>
  <c r="F39" i="3"/>
  <c r="F38" i="3"/>
  <c r="F37" i="3"/>
  <c r="F36" i="3"/>
  <c r="F35" i="3"/>
  <c r="F34" i="3"/>
  <c r="F33" i="3"/>
  <c r="F32" i="3"/>
  <c r="F31" i="3"/>
  <c r="F30" i="3"/>
  <c r="F29" i="3"/>
  <c r="E25" i="3"/>
  <c r="C24" i="3"/>
  <c r="E23" i="3"/>
  <c r="C23" i="3"/>
  <c r="R13" i="7" s="1"/>
  <c r="C22" i="3"/>
  <c r="E21" i="3"/>
  <c r="E20" i="3"/>
  <c r="E19" i="3"/>
  <c r="C8" i="3"/>
  <c r="E47" i="2"/>
  <c r="D47" i="2"/>
  <c r="G46" i="2"/>
  <c r="F46" i="2"/>
  <c r="E46" i="2"/>
  <c r="D46" i="2"/>
  <c r="C46" i="2"/>
  <c r="B46" i="2"/>
  <c r="E40" i="2"/>
  <c r="E38" i="2"/>
  <c r="E37" i="2"/>
  <c r="E34" i="2"/>
  <c r="E33" i="2"/>
  <c r="E31" i="2"/>
  <c r="E30" i="2"/>
  <c r="E29" i="2"/>
  <c r="E28" i="2"/>
  <c r="F27" i="2"/>
  <c r="E27" i="2"/>
  <c r="E26" i="2"/>
  <c r="E24" i="2"/>
  <c r="E23" i="2"/>
  <c r="F20" i="2"/>
  <c r="E20" i="2"/>
  <c r="E19" i="2"/>
  <c r="E18" i="2"/>
  <c r="D16" i="2"/>
  <c r="C16" i="2"/>
  <c r="B16" i="2"/>
  <c r="G4" i="2"/>
  <c r="F4" i="2"/>
  <c r="D4" i="2"/>
  <c r="E15" i="2" s="1"/>
  <c r="AG65" i="7" l="1"/>
  <c r="K64" i="7"/>
  <c r="AG63" i="7"/>
  <c r="K62" i="7"/>
  <c r="AG61" i="7"/>
  <c r="V64" i="7"/>
  <c r="K65" i="7"/>
  <c r="AG64" i="7"/>
  <c r="K63" i="7"/>
  <c r="AG62" i="7"/>
  <c r="K61" i="7"/>
  <c r="V65" i="7"/>
  <c r="V60" i="7"/>
  <c r="V58" i="7"/>
  <c r="V56" i="7"/>
  <c r="V54" i="7"/>
  <c r="K59" i="7"/>
  <c r="AG58" i="7"/>
  <c r="K57" i="7"/>
  <c r="AG56" i="7"/>
  <c r="K55" i="7"/>
  <c r="AG54" i="7"/>
  <c r="K53" i="7"/>
  <c r="AG52" i="7"/>
  <c r="V63" i="7"/>
  <c r="V62" i="7"/>
  <c r="V61" i="7"/>
  <c r="AG60" i="7"/>
  <c r="V59" i="7"/>
  <c r="V57" i="7"/>
  <c r="V55" i="7"/>
  <c r="V53" i="7"/>
  <c r="K58" i="7"/>
  <c r="AG57" i="7"/>
  <c r="V51" i="7"/>
  <c r="V49" i="7"/>
  <c r="V47" i="7"/>
  <c r="V45" i="7"/>
  <c r="V43" i="7"/>
  <c r="AG55" i="7"/>
  <c r="AG53" i="7"/>
  <c r="K52" i="7"/>
  <c r="AG51" i="7"/>
  <c r="K50" i="7"/>
  <c r="AG49" i="7"/>
  <c r="K48" i="7"/>
  <c r="AG47" i="7"/>
  <c r="K46" i="7"/>
  <c r="AG45" i="7"/>
  <c r="K44" i="7"/>
  <c r="AG43" i="7"/>
  <c r="K60" i="7"/>
  <c r="AG59" i="7"/>
  <c r="K56" i="7"/>
  <c r="V50" i="7"/>
  <c r="V48" i="7"/>
  <c r="V46" i="7"/>
  <c r="K49" i="7"/>
  <c r="AG48" i="7"/>
  <c r="K45" i="7"/>
  <c r="AG44" i="7"/>
  <c r="V44" i="7"/>
  <c r="AG42" i="7"/>
  <c r="K41" i="7"/>
  <c r="AG40" i="7"/>
  <c r="K39" i="7"/>
  <c r="AG38" i="7"/>
  <c r="K37" i="7"/>
  <c r="AG36" i="7"/>
  <c r="K35" i="7"/>
  <c r="AG34" i="7"/>
  <c r="K33" i="7"/>
  <c r="AG32" i="7"/>
  <c r="K31" i="7"/>
  <c r="AG30" i="7"/>
  <c r="K29" i="7"/>
  <c r="K43" i="7"/>
  <c r="V41" i="7"/>
  <c r="V39" i="7"/>
  <c r="V37" i="7"/>
  <c r="V35" i="7"/>
  <c r="V33" i="7"/>
  <c r="V31" i="7"/>
  <c r="V29" i="7"/>
  <c r="V27" i="7"/>
  <c r="K54" i="7"/>
  <c r="K51" i="7"/>
  <c r="AG50" i="7"/>
  <c r="K47" i="7"/>
  <c r="AG46" i="7"/>
  <c r="K42" i="7"/>
  <c r="AG41" i="7"/>
  <c r="K40" i="7"/>
  <c r="AG39" i="7"/>
  <c r="K38" i="7"/>
  <c r="AG37" i="7"/>
  <c r="K36" i="7"/>
  <c r="AG35" i="7"/>
  <c r="K34" i="7"/>
  <c r="AG33" i="7"/>
  <c r="K32" i="7"/>
  <c r="AG31" i="7"/>
  <c r="K30" i="7"/>
  <c r="AG29" i="7"/>
  <c r="K28" i="7"/>
  <c r="AG27" i="7"/>
  <c r="V42" i="7"/>
  <c r="V34" i="7"/>
  <c r="V28" i="7"/>
  <c r="V26" i="7"/>
  <c r="V24" i="7"/>
  <c r="V22" i="7"/>
  <c r="V20" i="7"/>
  <c r="V18" i="7"/>
  <c r="V16" i="7"/>
  <c r="V14" i="7"/>
  <c r="V36" i="7"/>
  <c r="K27" i="7"/>
  <c r="AG26" i="7"/>
  <c r="K25" i="7"/>
  <c r="AG24" i="7"/>
  <c r="K23" i="7"/>
  <c r="AG22" i="7"/>
  <c r="K21" i="7"/>
  <c r="AG20" i="7"/>
  <c r="K19" i="7"/>
  <c r="AG18" i="7"/>
  <c r="K17" i="7"/>
  <c r="AG16" i="7"/>
  <c r="K15" i="7"/>
  <c r="AG14" i="7"/>
  <c r="V52" i="7"/>
  <c r="V38" i="7"/>
  <c r="V30" i="7"/>
  <c r="V25" i="7"/>
  <c r="V23" i="7"/>
  <c r="V21" i="7"/>
  <c r="V19" i="7"/>
  <c r="V17" i="7"/>
  <c r="V15" i="7"/>
  <c r="V40" i="7"/>
  <c r="V32" i="7"/>
  <c r="K26" i="7"/>
  <c r="AG23" i="7"/>
  <c r="K18" i="7"/>
  <c r="AG13" i="7"/>
  <c r="V12" i="7"/>
  <c r="V10" i="7"/>
  <c r="V8" i="7"/>
  <c r="V6" i="7"/>
  <c r="D26" i="2"/>
  <c r="AG28" i="7"/>
  <c r="K24" i="7"/>
  <c r="AG21" i="7"/>
  <c r="K16" i="7"/>
  <c r="AG15" i="7"/>
  <c r="K14" i="7"/>
  <c r="K11" i="7"/>
  <c r="AG10" i="7"/>
  <c r="K9" i="7"/>
  <c r="AG8" i="7"/>
  <c r="K7" i="7"/>
  <c r="AG6" i="7"/>
  <c r="C26" i="2"/>
  <c r="K22" i="7"/>
  <c r="AG19" i="7"/>
  <c r="V11" i="7"/>
  <c r="AG25" i="7"/>
  <c r="K20" i="7"/>
  <c r="AG17" i="7"/>
  <c r="V13" i="7"/>
  <c r="K13" i="7"/>
  <c r="AG12" i="7"/>
  <c r="K12" i="7"/>
  <c r="AG11" i="7"/>
  <c r="K10" i="7"/>
  <c r="AG9" i="7"/>
  <c r="V9" i="7"/>
  <c r="K6" i="7"/>
  <c r="B26" i="2"/>
  <c r="AG7" i="7"/>
  <c r="V7" i="7"/>
  <c r="K8" i="7"/>
  <c r="B12" i="2"/>
  <c r="G64" i="7"/>
  <c r="G62" i="7"/>
  <c r="E6" i="8"/>
  <c r="G63" i="7"/>
  <c r="G61" i="7"/>
  <c r="G59" i="7"/>
  <c r="G57" i="7"/>
  <c r="G55" i="7"/>
  <c r="G53" i="7"/>
  <c r="G58" i="7"/>
  <c r="G52" i="7"/>
  <c r="G50" i="7"/>
  <c r="G48" i="7"/>
  <c r="G46" i="7"/>
  <c r="G43" i="7"/>
  <c r="G41" i="7"/>
  <c r="G39" i="7"/>
  <c r="G37" i="7"/>
  <c r="G35" i="7"/>
  <c r="G33" i="7"/>
  <c r="G31" i="7"/>
  <c r="G29" i="7"/>
  <c r="G49" i="7"/>
  <c r="G45" i="7"/>
  <c r="G56" i="7"/>
  <c r="G28" i="7"/>
  <c r="G47" i="7"/>
  <c r="G51" i="7"/>
  <c r="G27" i="7"/>
  <c r="G25" i="7"/>
  <c r="G23" i="7"/>
  <c r="G21" i="7"/>
  <c r="G19" i="7"/>
  <c r="G17" i="7"/>
  <c r="G15" i="7"/>
  <c r="G20" i="7"/>
  <c r="B13" i="2"/>
  <c r="G26" i="7"/>
  <c r="G18" i="7"/>
  <c r="G7" i="7"/>
  <c r="B47" i="2"/>
  <c r="G60" i="7"/>
  <c r="G24" i="7"/>
  <c r="G16" i="7"/>
  <c r="G13" i="7"/>
  <c r="G22" i="7"/>
  <c r="G14" i="7"/>
  <c r="G10" i="7"/>
  <c r="C12" i="2"/>
  <c r="C13" i="2"/>
  <c r="AC63" i="7"/>
  <c r="AC61" i="7"/>
  <c r="AC64" i="7"/>
  <c r="AC62" i="7"/>
  <c r="G6" i="8"/>
  <c r="AC60" i="7"/>
  <c r="AC58" i="7"/>
  <c r="AC56" i="7"/>
  <c r="AC54" i="7"/>
  <c r="AC52" i="7"/>
  <c r="AC57" i="7"/>
  <c r="AC51" i="7"/>
  <c r="AC49" i="7"/>
  <c r="AC47" i="7"/>
  <c r="AC45" i="7"/>
  <c r="AC43" i="7"/>
  <c r="AC55" i="7"/>
  <c r="AC53" i="7"/>
  <c r="AC38" i="7"/>
  <c r="AC59" i="7"/>
  <c r="AC48" i="7"/>
  <c r="AC41" i="7"/>
  <c r="AC39" i="7"/>
  <c r="AC37" i="7"/>
  <c r="AC35" i="7"/>
  <c r="AC33" i="7"/>
  <c r="AC31" i="7"/>
  <c r="AC29" i="7"/>
  <c r="AC27" i="7"/>
  <c r="AC28" i="7"/>
  <c r="AC26" i="7"/>
  <c r="AC24" i="7"/>
  <c r="AC22" i="7"/>
  <c r="AC20" i="7"/>
  <c r="AC18" i="7"/>
  <c r="AC16" i="7"/>
  <c r="AC14" i="7"/>
  <c r="AC46" i="7"/>
  <c r="AC50" i="7"/>
  <c r="AC25" i="7"/>
  <c r="AC17" i="7"/>
  <c r="AC23" i="7"/>
  <c r="AC10" i="7"/>
  <c r="AC8" i="7"/>
  <c r="AC6" i="7"/>
  <c r="F47" i="2"/>
  <c r="AC21" i="7"/>
  <c r="AC15" i="7"/>
  <c r="AC13" i="7"/>
  <c r="AC19" i="7"/>
  <c r="AC7" i="7"/>
  <c r="D11" i="7"/>
  <c r="G11" i="7" s="1"/>
  <c r="E11" i="7"/>
  <c r="D13" i="2"/>
  <c r="E22" i="3"/>
  <c r="E24" i="3"/>
  <c r="F27" i="6"/>
  <c r="F31" i="6" s="1"/>
  <c r="G6" i="7"/>
  <c r="D9" i="7"/>
  <c r="R9" i="7" s="1"/>
  <c r="E9" i="7"/>
  <c r="G27" i="6"/>
  <c r="G31" i="6" s="1"/>
  <c r="G8" i="7"/>
  <c r="S13" i="7"/>
  <c r="D12" i="2"/>
  <c r="F40" i="3"/>
  <c r="F12" i="5"/>
  <c r="F23" i="5" s="1"/>
  <c r="G6" i="5"/>
  <c r="G12" i="5" s="1"/>
  <c r="G23" i="5" s="1"/>
  <c r="D28" i="7"/>
  <c r="E28" i="7"/>
  <c r="D12" i="7"/>
  <c r="AC12" i="7" s="1"/>
  <c r="E12" i="2"/>
  <c r="E13" i="2"/>
  <c r="E14" i="2"/>
  <c r="F6" i="8"/>
  <c r="R64" i="7"/>
  <c r="R63" i="7"/>
  <c r="R62" i="7"/>
  <c r="R61" i="7"/>
  <c r="R60" i="7"/>
  <c r="R58" i="7"/>
  <c r="R56" i="7"/>
  <c r="R54" i="7"/>
  <c r="R59" i="7"/>
  <c r="R57" i="7"/>
  <c r="R55" i="7"/>
  <c r="R53" i="7"/>
  <c r="R51" i="7"/>
  <c r="R49" i="7"/>
  <c r="R47" i="7"/>
  <c r="R45" i="7"/>
  <c r="R43" i="7"/>
  <c r="R52" i="7"/>
  <c r="R50" i="7"/>
  <c r="R48" i="7"/>
  <c r="R46" i="7"/>
  <c r="R41" i="7"/>
  <c r="R39" i="7"/>
  <c r="R37" i="7"/>
  <c r="R35" i="7"/>
  <c r="R33" i="7"/>
  <c r="R31" i="7"/>
  <c r="R29" i="7"/>
  <c r="R27" i="7"/>
  <c r="R32" i="7"/>
  <c r="R26" i="7"/>
  <c r="R24" i="7"/>
  <c r="R22" i="7"/>
  <c r="R20" i="7"/>
  <c r="R18" i="7"/>
  <c r="R16" i="7"/>
  <c r="R14" i="7"/>
  <c r="R28" i="7"/>
  <c r="R25" i="7"/>
  <c r="R23" i="7"/>
  <c r="R21" i="7"/>
  <c r="R19" i="7"/>
  <c r="R17" i="7"/>
  <c r="R15" i="7"/>
  <c r="E36" i="7"/>
  <c r="D36" i="7"/>
  <c r="AC36" i="7" s="1"/>
  <c r="R6" i="7"/>
  <c r="R8" i="7"/>
  <c r="R10" i="7"/>
  <c r="R12" i="7"/>
  <c r="E34" i="7"/>
  <c r="D34" i="7"/>
  <c r="G34" i="7" s="1"/>
  <c r="E42" i="7"/>
  <c r="D42" i="7"/>
  <c r="G42" i="7" s="1"/>
  <c r="E32" i="7"/>
  <c r="D32" i="7"/>
  <c r="G32" i="7" s="1"/>
  <c r="E40" i="7"/>
  <c r="D40" i="7"/>
  <c r="G40" i="7" s="1"/>
  <c r="D44" i="7"/>
  <c r="G44" i="7" s="1"/>
  <c r="E44" i="7"/>
  <c r="E30" i="7"/>
  <c r="D30" i="7"/>
  <c r="R30" i="7" s="1"/>
  <c r="E38" i="7"/>
  <c r="D38" i="7"/>
  <c r="R38" i="7" s="1"/>
  <c r="D54" i="7"/>
  <c r="G54" i="7" s="1"/>
  <c r="D65" i="7"/>
  <c r="R65" i="7" s="1"/>
  <c r="S38" i="7" l="1"/>
  <c r="U38" i="7" s="1"/>
  <c r="H34" i="7"/>
  <c r="J34" i="7"/>
  <c r="AD12" i="7"/>
  <c r="H44" i="7"/>
  <c r="J44" i="7"/>
  <c r="H32" i="7"/>
  <c r="S30" i="7"/>
  <c r="U30" i="7" s="1"/>
  <c r="H40" i="7"/>
  <c r="H42" i="7"/>
  <c r="J42" i="7"/>
  <c r="AD36" i="7"/>
  <c r="AF36" i="7" s="1"/>
  <c r="H11" i="7"/>
  <c r="J11" i="7"/>
  <c r="S65" i="7"/>
  <c r="U65" i="7" s="1"/>
  <c r="H54" i="7"/>
  <c r="J54" i="7" s="1"/>
  <c r="S28" i="7"/>
  <c r="R40" i="7"/>
  <c r="S39" i="7"/>
  <c r="U39" i="7" s="1"/>
  <c r="S55" i="7"/>
  <c r="U55" i="7"/>
  <c r="S9" i="7"/>
  <c r="F49" i="2"/>
  <c r="AD20" i="7"/>
  <c r="AF20" i="7" s="1"/>
  <c r="AD41" i="7"/>
  <c r="AD38" i="7"/>
  <c r="G12" i="7"/>
  <c r="H7" i="7"/>
  <c r="J7" i="7" s="1"/>
  <c r="H25" i="7"/>
  <c r="G36" i="7"/>
  <c r="H31" i="7"/>
  <c r="J31" i="7" s="1"/>
  <c r="H46" i="7"/>
  <c r="J46" i="7" s="1"/>
  <c r="G65" i="7"/>
  <c r="V66" i="7"/>
  <c r="S10" i="7"/>
  <c r="S21" i="7"/>
  <c r="R36" i="7"/>
  <c r="S16" i="7"/>
  <c r="U16" i="7" s="1"/>
  <c r="S24" i="7"/>
  <c r="R44" i="7"/>
  <c r="S33" i="7"/>
  <c r="U33" i="7"/>
  <c r="S41" i="7"/>
  <c r="U41" i="7" s="1"/>
  <c r="S52" i="7"/>
  <c r="U52" i="7" s="1"/>
  <c r="S49" i="7"/>
  <c r="S57" i="7"/>
  <c r="U57" i="7"/>
  <c r="S58" i="7"/>
  <c r="S63" i="7"/>
  <c r="U63" i="7" s="1"/>
  <c r="R11" i="7"/>
  <c r="H8" i="7"/>
  <c r="J8" i="7" s="1"/>
  <c r="H6" i="7"/>
  <c r="D18" i="2"/>
  <c r="D15" i="2"/>
  <c r="AC9" i="7"/>
  <c r="AF13" i="7"/>
  <c r="AD13" i="7"/>
  <c r="AD6" i="7"/>
  <c r="AF6" i="7"/>
  <c r="AD17" i="7"/>
  <c r="AF17" i="7" s="1"/>
  <c r="AD14" i="7"/>
  <c r="AF14" i="7"/>
  <c r="AD22" i="7"/>
  <c r="AF22" i="7" s="1"/>
  <c r="AD27" i="7"/>
  <c r="AF27" i="7"/>
  <c r="AD35" i="7"/>
  <c r="AF35" i="7" s="1"/>
  <c r="AC44" i="7"/>
  <c r="AC32" i="7"/>
  <c r="AC40" i="7"/>
  <c r="AD43" i="7"/>
  <c r="AD51" i="7"/>
  <c r="AF51" i="7" s="1"/>
  <c r="AD56" i="7"/>
  <c r="AD62" i="7"/>
  <c r="AC65" i="7"/>
  <c r="H14" i="7"/>
  <c r="J14" i="7" s="1"/>
  <c r="H24" i="7"/>
  <c r="J24" i="7" s="1"/>
  <c r="G9" i="7"/>
  <c r="B15" i="2"/>
  <c r="B18" i="2"/>
  <c r="H19" i="7"/>
  <c r="J19" i="7" s="1"/>
  <c r="H27" i="7"/>
  <c r="G30" i="7"/>
  <c r="G38" i="7"/>
  <c r="H45" i="7"/>
  <c r="J45" i="7" s="1"/>
  <c r="H33" i="7"/>
  <c r="H41" i="7"/>
  <c r="J41" i="7" s="1"/>
  <c r="H48" i="7"/>
  <c r="J48" i="7" s="1"/>
  <c r="H59" i="7"/>
  <c r="S19" i="7"/>
  <c r="U19" i="7" s="1"/>
  <c r="S22" i="7"/>
  <c r="U22" i="7" s="1"/>
  <c r="S31" i="7"/>
  <c r="U31" i="7" s="1"/>
  <c r="S47" i="7"/>
  <c r="U47" i="7" s="1"/>
  <c r="S62" i="7"/>
  <c r="U62" i="7" s="1"/>
  <c r="E10" i="9"/>
  <c r="F9" i="9"/>
  <c r="B9" i="9"/>
  <c r="C8" i="9"/>
  <c r="D7" i="9"/>
  <c r="E6" i="9"/>
  <c r="I65" i="7"/>
  <c r="AE64" i="7"/>
  <c r="I63" i="7"/>
  <c r="AE62" i="7"/>
  <c r="AF62" i="7" s="1"/>
  <c r="I61" i="7"/>
  <c r="AE60" i="7"/>
  <c r="D10" i="9"/>
  <c r="E9" i="9"/>
  <c r="F8" i="9"/>
  <c r="B8" i="9"/>
  <c r="C7" i="9"/>
  <c r="D6" i="9"/>
  <c r="T65" i="7"/>
  <c r="C10" i="9"/>
  <c r="D9" i="9"/>
  <c r="E8" i="9"/>
  <c r="F7" i="9"/>
  <c r="B7" i="9"/>
  <c r="C6" i="9"/>
  <c r="C6" i="8"/>
  <c r="C7" i="8" s="1"/>
  <c r="C8" i="8" s="1"/>
  <c r="C9" i="8" s="1"/>
  <c r="AE65" i="7"/>
  <c r="I64" i="7"/>
  <c r="AE63" i="7"/>
  <c r="I62" i="7"/>
  <c r="AE61" i="7"/>
  <c r="F10" i="9"/>
  <c r="B10" i="9"/>
  <c r="C9" i="9"/>
  <c r="D8" i="9"/>
  <c r="E7" i="9"/>
  <c r="F6" i="9"/>
  <c r="B6" i="9"/>
  <c r="T59" i="7"/>
  <c r="T57" i="7"/>
  <c r="T55" i="7"/>
  <c r="T53" i="7"/>
  <c r="U53" i="7" s="1"/>
  <c r="I60" i="7"/>
  <c r="AE59" i="7"/>
  <c r="I58" i="7"/>
  <c r="AE57" i="7"/>
  <c r="I56" i="7"/>
  <c r="AE55" i="7"/>
  <c r="I54" i="7"/>
  <c r="AE53" i="7"/>
  <c r="T64" i="7"/>
  <c r="T60" i="7"/>
  <c r="T58" i="7"/>
  <c r="U58" i="7" s="1"/>
  <c r="T56" i="7"/>
  <c r="T54" i="7"/>
  <c r="T52" i="7"/>
  <c r="I59" i="7"/>
  <c r="J59" i="7" s="1"/>
  <c r="T50" i="7"/>
  <c r="U50" i="7" s="1"/>
  <c r="T48" i="7"/>
  <c r="T46" i="7"/>
  <c r="T44" i="7"/>
  <c r="AE56" i="7"/>
  <c r="AF56" i="7" s="1"/>
  <c r="AE52" i="7"/>
  <c r="I51" i="7"/>
  <c r="AE50" i="7"/>
  <c r="I49" i="7"/>
  <c r="AE48" i="7"/>
  <c r="I47" i="7"/>
  <c r="AE46" i="7"/>
  <c r="I45" i="7"/>
  <c r="AE44" i="7"/>
  <c r="T63" i="7"/>
  <c r="T62" i="7"/>
  <c r="T61" i="7"/>
  <c r="I57" i="7"/>
  <c r="AE54" i="7"/>
  <c r="T51" i="7"/>
  <c r="T49" i="7"/>
  <c r="U49" i="7" s="1"/>
  <c r="T47" i="7"/>
  <c r="T45" i="7"/>
  <c r="I55" i="7"/>
  <c r="I50" i="7"/>
  <c r="J50" i="7" s="1"/>
  <c r="I46" i="7"/>
  <c r="AE43" i="7"/>
  <c r="AF43" i="7" s="1"/>
  <c r="I42" i="7"/>
  <c r="AE41" i="7"/>
  <c r="AF41" i="7" s="1"/>
  <c r="I40" i="7"/>
  <c r="J40" i="7" s="1"/>
  <c r="AE39" i="7"/>
  <c r="I38" i="7"/>
  <c r="AE37" i="7"/>
  <c r="I36" i="7"/>
  <c r="AE35" i="7"/>
  <c r="I34" i="7"/>
  <c r="AE33" i="7"/>
  <c r="I32" i="7"/>
  <c r="J32" i="7" s="1"/>
  <c r="AE31" i="7"/>
  <c r="I30" i="7"/>
  <c r="AE29" i="7"/>
  <c r="AE51" i="7"/>
  <c r="AE47" i="7"/>
  <c r="T42" i="7"/>
  <c r="T40" i="7"/>
  <c r="T38" i="7"/>
  <c r="T36" i="7"/>
  <c r="T34" i="7"/>
  <c r="T32" i="7"/>
  <c r="T30" i="7"/>
  <c r="T28" i="7"/>
  <c r="U28" i="7" s="1"/>
  <c r="I52" i="7"/>
  <c r="I48" i="7"/>
  <c r="T43" i="7"/>
  <c r="I43" i="7"/>
  <c r="AE42" i="7"/>
  <c r="I41" i="7"/>
  <c r="AE40" i="7"/>
  <c r="I39" i="7"/>
  <c r="AE38" i="7"/>
  <c r="AF38" i="7" s="1"/>
  <c r="I37" i="7"/>
  <c r="AE36" i="7"/>
  <c r="I35" i="7"/>
  <c r="AE34" i="7"/>
  <c r="I33" i="7"/>
  <c r="J33" i="7" s="1"/>
  <c r="AE32" i="7"/>
  <c r="I31" i="7"/>
  <c r="AE30" i="7"/>
  <c r="I29" i="7"/>
  <c r="J29" i="7" s="1"/>
  <c r="AE28" i="7"/>
  <c r="I53" i="7"/>
  <c r="AE45" i="7"/>
  <c r="T35" i="7"/>
  <c r="U35" i="7" s="1"/>
  <c r="AE27" i="7"/>
  <c r="T25" i="7"/>
  <c r="T23" i="7"/>
  <c r="T21" i="7"/>
  <c r="U21" i="7" s="1"/>
  <c r="T19" i="7"/>
  <c r="T17" i="7"/>
  <c r="T15" i="7"/>
  <c r="T13" i="7"/>
  <c r="U13" i="7" s="1"/>
  <c r="AE58" i="7"/>
  <c r="AE49" i="7"/>
  <c r="T37" i="7"/>
  <c r="T29" i="7"/>
  <c r="U29" i="7" s="1"/>
  <c r="I26" i="7"/>
  <c r="AE25" i="7"/>
  <c r="I24" i="7"/>
  <c r="AE23" i="7"/>
  <c r="I22" i="7"/>
  <c r="AE21" i="7"/>
  <c r="I20" i="7"/>
  <c r="AE19" i="7"/>
  <c r="I18" i="7"/>
  <c r="AE17" i="7"/>
  <c r="I16" i="7"/>
  <c r="AE15" i="7"/>
  <c r="I14" i="7"/>
  <c r="AE13" i="7"/>
  <c r="I44" i="7"/>
  <c r="T39" i="7"/>
  <c r="T31" i="7"/>
  <c r="T27" i="7"/>
  <c r="T26" i="7"/>
  <c r="T24" i="7"/>
  <c r="U24" i="7" s="1"/>
  <c r="T22" i="7"/>
  <c r="T20" i="7"/>
  <c r="T18" i="7"/>
  <c r="T16" i="7"/>
  <c r="I28" i="7"/>
  <c r="I27" i="7"/>
  <c r="J27" i="7" s="1"/>
  <c r="AE24" i="7"/>
  <c r="I19" i="7"/>
  <c r="AE16" i="7"/>
  <c r="T14" i="7"/>
  <c r="T11" i="7"/>
  <c r="T9" i="7"/>
  <c r="U9" i="7" s="1"/>
  <c r="T7" i="7"/>
  <c r="U7" i="7" s="1"/>
  <c r="C33" i="2"/>
  <c r="C34" i="2" s="1"/>
  <c r="C19" i="2"/>
  <c r="I25" i="7"/>
  <c r="J25" i="7" s="1"/>
  <c r="AE22" i="7"/>
  <c r="I17" i="7"/>
  <c r="I13" i="7"/>
  <c r="AE12" i="7"/>
  <c r="AF12" i="7" s="1"/>
  <c r="I12" i="7"/>
  <c r="AE11" i="7"/>
  <c r="I10" i="7"/>
  <c r="AE9" i="7"/>
  <c r="I8" i="7"/>
  <c r="AE7" i="7"/>
  <c r="I6" i="7"/>
  <c r="E40" i="3"/>
  <c r="C48" i="2" s="1"/>
  <c r="D48" i="2"/>
  <c r="D49" i="2" s="1"/>
  <c r="B33" i="2"/>
  <c r="B34" i="2" s="1"/>
  <c r="B19" i="2"/>
  <c r="T41" i="7"/>
  <c r="T33" i="7"/>
  <c r="I23" i="7"/>
  <c r="AE20" i="7"/>
  <c r="I15" i="7"/>
  <c r="T12" i="7"/>
  <c r="AE26" i="7"/>
  <c r="I21" i="7"/>
  <c r="AE18" i="7"/>
  <c r="AE14" i="7"/>
  <c r="I11" i="7"/>
  <c r="AE10" i="7"/>
  <c r="I9" i="7"/>
  <c r="AE8" i="7"/>
  <c r="T10" i="7"/>
  <c r="U10" i="7" s="1"/>
  <c r="D19" i="2"/>
  <c r="B50" i="2"/>
  <c r="I7" i="7"/>
  <c r="AE6" i="7"/>
  <c r="T8" i="7"/>
  <c r="T6" i="7"/>
  <c r="T66" i="7" s="1"/>
  <c r="D33" i="2"/>
  <c r="D34" i="2" s="1"/>
  <c r="F48" i="2"/>
  <c r="AD7" i="7"/>
  <c r="AF7" i="7" s="1"/>
  <c r="AD46" i="7"/>
  <c r="AF46" i="7" s="1"/>
  <c r="AD33" i="7"/>
  <c r="AF33" i="7"/>
  <c r="AC30" i="7"/>
  <c r="AD55" i="7"/>
  <c r="AF55" i="7" s="1"/>
  <c r="AD54" i="7"/>
  <c r="AF54" i="7" s="1"/>
  <c r="AD63" i="7"/>
  <c r="AF63" i="7" s="1"/>
  <c r="J16" i="7"/>
  <c r="H16" i="7"/>
  <c r="H17" i="7"/>
  <c r="J17" i="7"/>
  <c r="H28" i="7"/>
  <c r="J28" i="7" s="1"/>
  <c r="H56" i="7"/>
  <c r="J56" i="7" s="1"/>
  <c r="J39" i="7"/>
  <c r="H39" i="7"/>
  <c r="H57" i="7"/>
  <c r="J57" i="7"/>
  <c r="C14" i="2"/>
  <c r="S8" i="7"/>
  <c r="U8" i="7" s="1"/>
  <c r="S15" i="7"/>
  <c r="U15" i="7"/>
  <c r="S23" i="7"/>
  <c r="U23" i="7" s="1"/>
  <c r="R34" i="7"/>
  <c r="R66" i="7" s="1"/>
  <c r="U18" i="7"/>
  <c r="S18" i="7"/>
  <c r="S26" i="7"/>
  <c r="U26" i="7" s="1"/>
  <c r="U27" i="7"/>
  <c r="S27" i="7"/>
  <c r="S35" i="7"/>
  <c r="S46" i="7"/>
  <c r="U46" i="7" s="1"/>
  <c r="S43" i="7"/>
  <c r="U43" i="7" s="1"/>
  <c r="U51" i="7"/>
  <c r="S51" i="7"/>
  <c r="S59" i="7"/>
  <c r="U59" i="7"/>
  <c r="U60" i="7"/>
  <c r="S60" i="7"/>
  <c r="D37" i="2"/>
  <c r="O5" i="7"/>
  <c r="F51" i="2"/>
  <c r="B51" i="2"/>
  <c r="C37" i="2"/>
  <c r="AK5" i="7"/>
  <c r="Z5" i="7"/>
  <c r="B37" i="2"/>
  <c r="D51" i="2"/>
  <c r="G51" i="2"/>
  <c r="C51" i="2"/>
  <c r="E51" i="2"/>
  <c r="AC11" i="7"/>
  <c r="AD15" i="7"/>
  <c r="AF15" i="7" s="1"/>
  <c r="AD8" i="7"/>
  <c r="AF8" i="7" s="1"/>
  <c r="AD25" i="7"/>
  <c r="AF25" i="7" s="1"/>
  <c r="AD16" i="7"/>
  <c r="AF16" i="7" s="1"/>
  <c r="AD24" i="7"/>
  <c r="AF24" i="7"/>
  <c r="AD29" i="7"/>
  <c r="AF29" i="7" s="1"/>
  <c r="AD37" i="7"/>
  <c r="AF37" i="7"/>
  <c r="AF48" i="7"/>
  <c r="AD48" i="7"/>
  <c r="AC34" i="7"/>
  <c r="AC42" i="7"/>
  <c r="AD45" i="7"/>
  <c r="AF45" i="7" s="1"/>
  <c r="AD57" i="7"/>
  <c r="AF57" i="7" s="1"/>
  <c r="AD58" i="7"/>
  <c r="AF58" i="7" s="1"/>
  <c r="AD64" i="7"/>
  <c r="AF64" i="7"/>
  <c r="B48" i="2"/>
  <c r="H22" i="7"/>
  <c r="J22" i="7" s="1"/>
  <c r="J60" i="7"/>
  <c r="H60" i="7"/>
  <c r="H20" i="7"/>
  <c r="J20" i="7" s="1"/>
  <c r="H21" i="7"/>
  <c r="J21" i="7" s="1"/>
  <c r="H51" i="7"/>
  <c r="J51" i="7" s="1"/>
  <c r="J49" i="7"/>
  <c r="H49" i="7"/>
  <c r="H35" i="7"/>
  <c r="J35" i="7" s="1"/>
  <c r="J43" i="7"/>
  <c r="H43" i="7"/>
  <c r="H50" i="7"/>
  <c r="H53" i="7"/>
  <c r="J53" i="7" s="1"/>
  <c r="H61" i="7"/>
  <c r="J61" i="7" s="1"/>
  <c r="J62" i="7"/>
  <c r="H62" i="7"/>
  <c r="S12" i="7"/>
  <c r="U12" i="7" s="1"/>
  <c r="U14" i="7"/>
  <c r="S14" i="7"/>
  <c r="S50" i="7"/>
  <c r="U56" i="7"/>
  <c r="S56" i="7"/>
  <c r="C47" i="2"/>
  <c r="AF23" i="7"/>
  <c r="AD23" i="7"/>
  <c r="AD28" i="7"/>
  <c r="AF28" i="7" s="1"/>
  <c r="AD49" i="7"/>
  <c r="AF49" i="7" s="1"/>
  <c r="C35" i="2"/>
  <c r="C18" i="2"/>
  <c r="C20" i="2" s="1"/>
  <c r="C21" i="2" s="1"/>
  <c r="C15" i="2"/>
  <c r="H26" i="7"/>
  <c r="J26" i="7" s="1"/>
  <c r="J58" i="7"/>
  <c r="H58" i="7"/>
  <c r="S6" i="7"/>
  <c r="S17" i="7"/>
  <c r="U17" i="7" s="1"/>
  <c r="S25" i="7"/>
  <c r="U25" i="7"/>
  <c r="R42" i="7"/>
  <c r="S20" i="7"/>
  <c r="U20" i="7" s="1"/>
  <c r="U32" i="7"/>
  <c r="S32" i="7"/>
  <c r="S29" i="7"/>
  <c r="S37" i="7"/>
  <c r="U37" i="7" s="1"/>
  <c r="S48" i="7"/>
  <c r="U48" i="7"/>
  <c r="U45" i="7"/>
  <c r="S45" i="7"/>
  <c r="S53" i="7"/>
  <c r="U54" i="7"/>
  <c r="S54" i="7"/>
  <c r="S61" i="7"/>
  <c r="U61" i="7" s="1"/>
  <c r="S64" i="7"/>
  <c r="U64" i="7" s="1"/>
  <c r="G47" i="2"/>
  <c r="AF19" i="7"/>
  <c r="AD19" i="7"/>
  <c r="AD21" i="7"/>
  <c r="AF21" i="7" s="1"/>
  <c r="AD10" i="7"/>
  <c r="AF10" i="7" s="1"/>
  <c r="AD50" i="7"/>
  <c r="AF50" i="7" s="1"/>
  <c r="AD18" i="7"/>
  <c r="AF18" i="7" s="1"/>
  <c r="AD26" i="7"/>
  <c r="AF26" i="7"/>
  <c r="AD31" i="7"/>
  <c r="AF31" i="7" s="1"/>
  <c r="AD39" i="7"/>
  <c r="AF39" i="7"/>
  <c r="AF59" i="7"/>
  <c r="AD59" i="7"/>
  <c r="AD53" i="7"/>
  <c r="AF53" i="7" s="1"/>
  <c r="AD47" i="7"/>
  <c r="AF47" i="7" s="1"/>
  <c r="AD52" i="7"/>
  <c r="AF52" i="7" s="1"/>
  <c r="AD60" i="7"/>
  <c r="AF60" i="7" s="1"/>
  <c r="AD61" i="7"/>
  <c r="AF61" i="7" s="1"/>
  <c r="J10" i="7"/>
  <c r="H10" i="7"/>
  <c r="H13" i="7"/>
  <c r="J13" i="7"/>
  <c r="B49" i="2"/>
  <c r="J18" i="7"/>
  <c r="H18" i="7"/>
  <c r="H15" i="7"/>
  <c r="J15" i="7"/>
  <c r="H23" i="7"/>
  <c r="J23" i="7" s="1"/>
  <c r="H47" i="7"/>
  <c r="J47" i="7" s="1"/>
  <c r="H29" i="7"/>
  <c r="H37" i="7"/>
  <c r="J37" i="7" s="1"/>
  <c r="H52" i="7"/>
  <c r="J52" i="7" s="1"/>
  <c r="H55" i="7"/>
  <c r="J55" i="7"/>
  <c r="J63" i="7"/>
  <c r="H63" i="7"/>
  <c r="H64" i="7"/>
  <c r="J64" i="7" s="1"/>
  <c r="K66" i="7"/>
  <c r="AG66" i="7"/>
  <c r="L23" i="7" l="1"/>
  <c r="L53" i="7"/>
  <c r="AH58" i="7"/>
  <c r="W26" i="7"/>
  <c r="L45" i="7"/>
  <c r="W52" i="7"/>
  <c r="W30" i="7"/>
  <c r="L20" i="7"/>
  <c r="AH29" i="7"/>
  <c r="AH55" i="7"/>
  <c r="W9" i="7"/>
  <c r="W29" i="7"/>
  <c r="W21" i="7"/>
  <c r="W35" i="7"/>
  <c r="L29" i="7"/>
  <c r="L33" i="7"/>
  <c r="AH41" i="7"/>
  <c r="L50" i="7"/>
  <c r="W49" i="7"/>
  <c r="AH56" i="7"/>
  <c r="W50" i="7"/>
  <c r="W53" i="7"/>
  <c r="AH62" i="7"/>
  <c r="W31" i="7"/>
  <c r="L48" i="7"/>
  <c r="L14" i="7"/>
  <c r="AH51" i="7"/>
  <c r="AH22" i="7"/>
  <c r="L8" i="7"/>
  <c r="W41" i="7"/>
  <c r="L31" i="7"/>
  <c r="W39" i="7"/>
  <c r="W65" i="7"/>
  <c r="AH52" i="7"/>
  <c r="L35" i="7"/>
  <c r="L22" i="7"/>
  <c r="W46" i="7"/>
  <c r="AH54" i="7"/>
  <c r="L40" i="7"/>
  <c r="L19" i="7"/>
  <c r="AH17" i="7"/>
  <c r="L7" i="7"/>
  <c r="L54" i="7"/>
  <c r="AH47" i="7"/>
  <c r="W64" i="7"/>
  <c r="AH57" i="7"/>
  <c r="AH25" i="7"/>
  <c r="L56" i="7"/>
  <c r="AH46" i="7"/>
  <c r="L25" i="7"/>
  <c r="W24" i="7"/>
  <c r="AH61" i="7"/>
  <c r="AH53" i="7"/>
  <c r="AH18" i="7"/>
  <c r="W61" i="7"/>
  <c r="W37" i="7"/>
  <c r="W20" i="7"/>
  <c r="W17" i="7"/>
  <c r="L26" i="7"/>
  <c r="AH49" i="7"/>
  <c r="AH45" i="7"/>
  <c r="AH8" i="7"/>
  <c r="L28" i="7"/>
  <c r="AH7" i="7"/>
  <c r="AH38" i="7"/>
  <c r="L59" i="7"/>
  <c r="W58" i="7"/>
  <c r="W22" i="7"/>
  <c r="L41" i="7"/>
  <c r="AH35" i="7"/>
  <c r="W16" i="7"/>
  <c r="L52" i="7"/>
  <c r="AH10" i="7"/>
  <c r="W12" i="7"/>
  <c r="L21" i="7"/>
  <c r="AH16" i="7"/>
  <c r="W23" i="7"/>
  <c r="L32" i="7"/>
  <c r="W47" i="7"/>
  <c r="L24" i="7"/>
  <c r="L46" i="7"/>
  <c r="AH20" i="7"/>
  <c r="AH36" i="7"/>
  <c r="L37" i="7"/>
  <c r="AH21" i="7"/>
  <c r="AH12" i="7"/>
  <c r="L64" i="7"/>
  <c r="L47" i="7"/>
  <c r="AH60" i="7"/>
  <c r="AH31" i="7"/>
  <c r="AH50" i="7"/>
  <c r="AH28" i="7"/>
  <c r="L61" i="7"/>
  <c r="L51" i="7"/>
  <c r="AH15" i="7"/>
  <c r="W43" i="7"/>
  <c r="W8" i="7"/>
  <c r="AH63" i="7"/>
  <c r="W10" i="7"/>
  <c r="L27" i="7"/>
  <c r="W28" i="7"/>
  <c r="AH43" i="7"/>
  <c r="W62" i="7"/>
  <c r="W19" i="7"/>
  <c r="W63" i="7"/>
  <c r="W38" i="7"/>
  <c r="L15" i="7"/>
  <c r="W45" i="7"/>
  <c r="AH37" i="7"/>
  <c r="W15" i="7"/>
  <c r="E10" i="8"/>
  <c r="AH27" i="7"/>
  <c r="J12" i="7"/>
  <c r="H12" i="7"/>
  <c r="W48" i="7"/>
  <c r="C23" i="2"/>
  <c r="C24" i="2" s="1"/>
  <c r="W59" i="7"/>
  <c r="L17" i="7"/>
  <c r="I66" i="7"/>
  <c r="B20" i="2"/>
  <c r="B21" i="2" s="1"/>
  <c r="H9" i="7"/>
  <c r="J9" i="7" s="1"/>
  <c r="AD44" i="7"/>
  <c r="AF44" i="7" s="1"/>
  <c r="AF9" i="7"/>
  <c r="AD9" i="7"/>
  <c r="D20" i="2"/>
  <c r="D21" i="2" s="1"/>
  <c r="B14" i="2"/>
  <c r="G10" i="8"/>
  <c r="L55" i="7"/>
  <c r="L10" i="7"/>
  <c r="AH59" i="7"/>
  <c r="W56" i="7"/>
  <c r="L62" i="7"/>
  <c r="L43" i="7"/>
  <c r="AH64" i="7"/>
  <c r="AF42" i="7"/>
  <c r="AD42" i="7"/>
  <c r="W60" i="7"/>
  <c r="L16" i="7"/>
  <c r="AH33" i="7"/>
  <c r="D50" i="2"/>
  <c r="F50" i="2"/>
  <c r="H30" i="7"/>
  <c r="J30" i="7"/>
  <c r="AF32" i="7"/>
  <c r="AD32" i="7"/>
  <c r="AH14" i="7"/>
  <c r="AH13" i="7"/>
  <c r="S40" i="7"/>
  <c r="U40" i="7" s="1"/>
  <c r="L11" i="7"/>
  <c r="L34" i="7"/>
  <c r="L13" i="7"/>
  <c r="AH39" i="7"/>
  <c r="G48" i="2"/>
  <c r="G49" i="2" s="1"/>
  <c r="U6" i="7"/>
  <c r="AD34" i="7"/>
  <c r="AF34" i="7" s="1"/>
  <c r="C15" i="8"/>
  <c r="P5" i="7"/>
  <c r="Q5" i="7"/>
  <c r="L57" i="7"/>
  <c r="C49" i="2"/>
  <c r="AD11" i="7"/>
  <c r="AD66" i="7" s="1"/>
  <c r="AE66" i="7"/>
  <c r="B23" i="2"/>
  <c r="B24" i="2" s="1"/>
  <c r="AD65" i="7"/>
  <c r="AF65" i="7" s="1"/>
  <c r="AC66" i="7"/>
  <c r="D23" i="2"/>
  <c r="D24" i="2" s="1"/>
  <c r="S44" i="7"/>
  <c r="U44" i="7" s="1"/>
  <c r="H65" i="7"/>
  <c r="J65" i="7"/>
  <c r="AH19" i="7"/>
  <c r="W54" i="7"/>
  <c r="W32" i="7"/>
  <c r="W25" i="7"/>
  <c r="L58" i="7"/>
  <c r="AH23" i="7"/>
  <c r="W14" i="7"/>
  <c r="L49" i="7"/>
  <c r="L60" i="7"/>
  <c r="AH24" i="7"/>
  <c r="E15" i="8"/>
  <c r="AB5" i="7"/>
  <c r="AA5" i="7"/>
  <c r="W51" i="7"/>
  <c r="W27" i="7"/>
  <c r="W18" i="7"/>
  <c r="L39" i="7"/>
  <c r="E48" i="2"/>
  <c r="E49" i="2" s="1"/>
  <c r="C50" i="2"/>
  <c r="W13" i="7"/>
  <c r="AH6" i="7"/>
  <c r="G66" i="7"/>
  <c r="W57" i="7"/>
  <c r="W33" i="7"/>
  <c r="W55" i="7"/>
  <c r="L42" i="7"/>
  <c r="L44" i="7"/>
  <c r="AH26" i="7"/>
  <c r="AM5" i="7"/>
  <c r="AL5" i="7"/>
  <c r="S34" i="7"/>
  <c r="U34" i="7" s="1"/>
  <c r="L63" i="7"/>
  <c r="L18" i="7"/>
  <c r="S42" i="7"/>
  <c r="U42" i="7" s="1"/>
  <c r="AH48" i="7"/>
  <c r="AD30" i="7"/>
  <c r="AF30" i="7" s="1"/>
  <c r="W7" i="7"/>
  <c r="H38" i="7"/>
  <c r="J38" i="7"/>
  <c r="B35" i="2"/>
  <c r="AF40" i="7"/>
  <c r="AD40" i="7"/>
  <c r="D35" i="2"/>
  <c r="J6" i="7"/>
  <c r="S11" i="7"/>
  <c r="S66" i="7" s="1"/>
  <c r="S36" i="7"/>
  <c r="U36" i="7" s="1"/>
  <c r="H36" i="7"/>
  <c r="J36" i="7" s="1"/>
  <c r="F10" i="8"/>
  <c r="D14" i="2"/>
  <c r="AH30" i="7" l="1"/>
  <c r="L36" i="7"/>
  <c r="W40" i="7"/>
  <c r="W36" i="7"/>
  <c r="W42" i="7"/>
  <c r="W44" i="7"/>
  <c r="AH34" i="7"/>
  <c r="W34" i="7"/>
  <c r="AH65" i="7"/>
  <c r="AH44" i="7"/>
  <c r="L9" i="7"/>
  <c r="AH40" i="7"/>
  <c r="M44" i="7"/>
  <c r="O44" i="7" s="1"/>
  <c r="Q44" i="7" s="1"/>
  <c r="X55" i="7"/>
  <c r="Z55" i="7" s="1"/>
  <c r="AB55" i="7" s="1"/>
  <c r="Y55" i="7"/>
  <c r="X57" i="7"/>
  <c r="Z57" i="7" s="1"/>
  <c r="AB57" i="7" s="1"/>
  <c r="AI48" i="7"/>
  <c r="AK48" i="7" s="1"/>
  <c r="AM48" i="7" s="1"/>
  <c r="N39" i="7"/>
  <c r="M39" i="7"/>
  <c r="O39" i="7" s="1"/>
  <c r="Q39" i="7" s="1"/>
  <c r="F15" i="8"/>
  <c r="Y54" i="7"/>
  <c r="X54" i="7"/>
  <c r="Z54" i="7" s="1"/>
  <c r="AB54" i="7" s="1"/>
  <c r="L65" i="7"/>
  <c r="M57" i="7"/>
  <c r="O57" i="7" s="1"/>
  <c r="Q57" i="7" s="1"/>
  <c r="M13" i="7"/>
  <c r="O13" i="7" s="1"/>
  <c r="AH32" i="7"/>
  <c r="M16" i="7"/>
  <c r="O16" i="7" s="1"/>
  <c r="X15" i="7"/>
  <c r="Z15" i="7" s="1"/>
  <c r="Y15" i="7"/>
  <c r="X43" i="7"/>
  <c r="Z43" i="7" s="1"/>
  <c r="AB43" i="7" s="1"/>
  <c r="AI28" i="7"/>
  <c r="AK28" i="7" s="1"/>
  <c r="AM28" i="7" s="1"/>
  <c r="AI61" i="7"/>
  <c r="AK61" i="7" s="1"/>
  <c r="AM61" i="7" s="1"/>
  <c r="AJ61" i="7"/>
  <c r="AI52" i="7"/>
  <c r="AK52" i="7" s="1"/>
  <c r="AM52" i="7" s="1"/>
  <c r="X52" i="7"/>
  <c r="Z52" i="7" s="1"/>
  <c r="AB52" i="7" s="1"/>
  <c r="Y52" i="7"/>
  <c r="L38" i="7"/>
  <c r="M63" i="7"/>
  <c r="O63" i="7" s="1"/>
  <c r="Q63" i="7" s="1"/>
  <c r="N63" i="7"/>
  <c r="G15" i="8"/>
  <c r="AI26" i="7"/>
  <c r="AK26" i="7" s="1"/>
  <c r="AM26" i="7" s="1"/>
  <c r="M42" i="7"/>
  <c r="O42" i="7" s="1"/>
  <c r="Q42" i="7" s="1"/>
  <c r="X33" i="7"/>
  <c r="Z33" i="7" s="1"/>
  <c r="AB33" i="7" s="1"/>
  <c r="AI24" i="7"/>
  <c r="AK24" i="7" s="1"/>
  <c r="AM24" i="7" s="1"/>
  <c r="N49" i="7"/>
  <c r="M49" i="7"/>
  <c r="O49" i="7" s="1"/>
  <c r="Q49" i="7" s="1"/>
  <c r="AI23" i="7"/>
  <c r="AK23" i="7" s="1"/>
  <c r="AM23" i="7" s="1"/>
  <c r="X25" i="7"/>
  <c r="Z25" i="7" s="1"/>
  <c r="AB25" i="7" s="1"/>
  <c r="D27" i="2"/>
  <c r="F7" i="2"/>
  <c r="F8" i="2"/>
  <c r="D25" i="2"/>
  <c r="B25" i="2"/>
  <c r="B7" i="2"/>
  <c r="B27" i="2"/>
  <c r="B8" i="2"/>
  <c r="L30" i="7"/>
  <c r="Y60" i="7"/>
  <c r="X60" i="7"/>
  <c r="Z60" i="7" s="1"/>
  <c r="AB60" i="7" s="1"/>
  <c r="M62" i="7"/>
  <c r="O62" i="7" s="1"/>
  <c r="Q62" i="7" s="1"/>
  <c r="N62" i="7"/>
  <c r="X48" i="7"/>
  <c r="Z48" i="7" s="1"/>
  <c r="AB48" i="7" s="1"/>
  <c r="AI27" i="7"/>
  <c r="AK27" i="7" s="1"/>
  <c r="AM27" i="7" s="1"/>
  <c r="Y38" i="7"/>
  <c r="X38" i="7"/>
  <c r="Z38" i="7" s="1"/>
  <c r="AB38" i="7" s="1"/>
  <c r="X19" i="7"/>
  <c r="Z19" i="7" s="1"/>
  <c r="AB19" i="7" s="1"/>
  <c r="Y19" i="7"/>
  <c r="AJ43" i="7"/>
  <c r="AI43" i="7"/>
  <c r="AK43" i="7" s="1"/>
  <c r="AM43" i="7" s="1"/>
  <c r="M27" i="7"/>
  <c r="O27" i="7" s="1"/>
  <c r="Q27" i="7" s="1"/>
  <c r="N51" i="7"/>
  <c r="M51" i="7"/>
  <c r="O51" i="7" s="1"/>
  <c r="Q51" i="7" s="1"/>
  <c r="AI31" i="7"/>
  <c r="AK31" i="7" s="1"/>
  <c r="AM31" i="7" s="1"/>
  <c r="AJ31" i="7"/>
  <c r="N47" i="7"/>
  <c r="M47" i="7"/>
  <c r="O47" i="7" s="1"/>
  <c r="Q47" i="7" s="1"/>
  <c r="AI12" i="7"/>
  <c r="AK12" i="7" s="1"/>
  <c r="AM12" i="7" s="1"/>
  <c r="AJ20" i="7"/>
  <c r="AI20" i="7"/>
  <c r="AK20" i="7" s="1"/>
  <c r="AM20" i="7" s="1"/>
  <c r="M24" i="7"/>
  <c r="O24" i="7" s="1"/>
  <c r="Q24" i="7" s="1"/>
  <c r="M32" i="7"/>
  <c r="O32" i="7" s="1"/>
  <c r="Q32" i="7" s="1"/>
  <c r="AI16" i="7"/>
  <c r="AK16" i="7" s="1"/>
  <c r="AM16" i="7" s="1"/>
  <c r="N52" i="7"/>
  <c r="M52" i="7"/>
  <c r="O52" i="7" s="1"/>
  <c r="Q52" i="7" s="1"/>
  <c r="AI35" i="7"/>
  <c r="AK35" i="7" s="1"/>
  <c r="AM35" i="7" s="1"/>
  <c r="AJ35" i="7"/>
  <c r="N59" i="7"/>
  <c r="M59" i="7"/>
  <c r="O59" i="7" s="1"/>
  <c r="Q59" i="7" s="1"/>
  <c r="AI7" i="7"/>
  <c r="AK7" i="7" s="1"/>
  <c r="AM7" i="7" s="1"/>
  <c r="AI8" i="7"/>
  <c r="AK8" i="7" s="1"/>
  <c r="AM8" i="7" s="1"/>
  <c r="AI49" i="7"/>
  <c r="AK49" i="7" s="1"/>
  <c r="AM49" i="7" s="1"/>
  <c r="X17" i="7"/>
  <c r="Z17" i="7" s="1"/>
  <c r="X37" i="7"/>
  <c r="Z37" i="7" s="1"/>
  <c r="AB37" i="7" s="1"/>
  <c r="AJ18" i="7"/>
  <c r="AI18" i="7"/>
  <c r="AK18" i="7" s="1"/>
  <c r="AM18" i="7" s="1"/>
  <c r="M25" i="7"/>
  <c r="O25" i="7" s="1"/>
  <c r="Q25" i="7" s="1"/>
  <c r="N56" i="7"/>
  <c r="M56" i="7"/>
  <c r="O56" i="7" s="1"/>
  <c r="Q56" i="7" s="1"/>
  <c r="AI57" i="7"/>
  <c r="AK57" i="7" s="1"/>
  <c r="AM57" i="7" s="1"/>
  <c r="AJ47" i="7"/>
  <c r="AI47" i="7"/>
  <c r="AK47" i="7" s="1"/>
  <c r="AM47" i="7" s="1"/>
  <c r="M7" i="7"/>
  <c r="O7" i="7" s="1"/>
  <c r="N19" i="7"/>
  <c r="M19" i="7"/>
  <c r="O19" i="7" s="1"/>
  <c r="Q19" i="7" s="1"/>
  <c r="AI54" i="7"/>
  <c r="AK54" i="7" s="1"/>
  <c r="AM54" i="7" s="1"/>
  <c r="N22" i="7"/>
  <c r="M22" i="7"/>
  <c r="O22" i="7" s="1"/>
  <c r="Q22" i="7" s="1"/>
  <c r="X39" i="7"/>
  <c r="Z39" i="7" s="1"/>
  <c r="AB39" i="7" s="1"/>
  <c r="Y41" i="7"/>
  <c r="X41" i="7"/>
  <c r="Z41" i="7" s="1"/>
  <c r="AB41" i="7" s="1"/>
  <c r="AI22" i="7"/>
  <c r="AK22" i="7" s="1"/>
  <c r="AM22" i="7" s="1"/>
  <c r="N14" i="7"/>
  <c r="M14" i="7"/>
  <c r="O14" i="7" s="1"/>
  <c r="X31" i="7"/>
  <c r="Z31" i="7" s="1"/>
  <c r="AB31" i="7" s="1"/>
  <c r="X53" i="7"/>
  <c r="Z53" i="7" s="1"/>
  <c r="AB53" i="7" s="1"/>
  <c r="AI56" i="7"/>
  <c r="AK56" i="7" s="1"/>
  <c r="AM56" i="7" s="1"/>
  <c r="N50" i="7"/>
  <c r="M50" i="7"/>
  <c r="O50" i="7" s="1"/>
  <c r="Q50" i="7" s="1"/>
  <c r="X35" i="7"/>
  <c r="Z35" i="7" s="1"/>
  <c r="AB35" i="7" s="1"/>
  <c r="Y29" i="7"/>
  <c r="X29" i="7"/>
  <c r="Z29" i="7" s="1"/>
  <c r="AB29" i="7" s="1"/>
  <c r="AI55" i="7"/>
  <c r="AK55" i="7" s="1"/>
  <c r="AM55" i="7" s="1"/>
  <c r="N20" i="7"/>
  <c r="M20" i="7"/>
  <c r="O20" i="7" s="1"/>
  <c r="Q20" i="7" s="1"/>
  <c r="M53" i="7"/>
  <c r="O53" i="7" s="1"/>
  <c r="Q53" i="7" s="1"/>
  <c r="N60" i="7"/>
  <c r="M60" i="7"/>
  <c r="O60" i="7" s="1"/>
  <c r="Q60" i="7" s="1"/>
  <c r="M58" i="7"/>
  <c r="O58" i="7" s="1"/>
  <c r="Q58" i="7" s="1"/>
  <c r="Y32" i="7"/>
  <c r="X32" i="7"/>
  <c r="Z32" i="7" s="1"/>
  <c r="AB32" i="7" s="1"/>
  <c r="AI19" i="7"/>
  <c r="AK19" i="7" s="1"/>
  <c r="AM19" i="7" s="1"/>
  <c r="J66" i="7"/>
  <c r="L6" i="7"/>
  <c r="X7" i="7"/>
  <c r="Z7" i="7" s="1"/>
  <c r="Y7" i="7"/>
  <c r="N18" i="7"/>
  <c r="M18" i="7"/>
  <c r="O18" i="7" s="1"/>
  <c r="Q18" i="7" s="1"/>
  <c r="X13" i="7"/>
  <c r="Z13" i="7" s="1"/>
  <c r="Y13" i="7"/>
  <c r="Y27" i="7"/>
  <c r="X27" i="7"/>
  <c r="Z27" i="7" s="1"/>
  <c r="AB27" i="7" s="1"/>
  <c r="H66" i="7"/>
  <c r="AF11" i="7"/>
  <c r="N11" i="7"/>
  <c r="M11" i="7"/>
  <c r="O11" i="7" s="1"/>
  <c r="AH42" i="7"/>
  <c r="N43" i="7"/>
  <c r="M43" i="7"/>
  <c r="O43" i="7" s="1"/>
  <c r="Q43" i="7" s="1"/>
  <c r="M17" i="7"/>
  <c r="O17" i="7" s="1"/>
  <c r="Y45" i="7"/>
  <c r="X45" i="7"/>
  <c r="Z45" i="7" s="1"/>
  <c r="AB45" i="7" s="1"/>
  <c r="AI63" i="7"/>
  <c r="AK63" i="7" s="1"/>
  <c r="AM63" i="7" s="1"/>
  <c r="AJ63" i="7"/>
  <c r="N37" i="7"/>
  <c r="M37" i="7"/>
  <c r="O37" i="7" s="1"/>
  <c r="Q37" i="7" s="1"/>
  <c r="X12" i="7"/>
  <c r="Z12" i="7" s="1"/>
  <c r="Y22" i="7"/>
  <c r="X22" i="7"/>
  <c r="Z22" i="7" s="1"/>
  <c r="AB22" i="7" s="1"/>
  <c r="M33" i="7"/>
  <c r="O33" i="7" s="1"/>
  <c r="Q33" i="7" s="1"/>
  <c r="Y26" i="7"/>
  <c r="X26" i="7"/>
  <c r="Z26" i="7" s="1"/>
  <c r="AB26" i="7" s="1"/>
  <c r="U11" i="7"/>
  <c r="AI6" i="7"/>
  <c r="AJ6" i="7"/>
  <c r="E50" i="2"/>
  <c r="G50" i="2"/>
  <c r="X18" i="7"/>
  <c r="Z18" i="7" s="1"/>
  <c r="AB18" i="7" s="1"/>
  <c r="Y51" i="7"/>
  <c r="X51" i="7"/>
  <c r="Z51" i="7" s="1"/>
  <c r="AB51" i="7" s="1"/>
  <c r="X14" i="7"/>
  <c r="Z14" i="7" s="1"/>
  <c r="D15" i="8"/>
  <c r="AI39" i="7"/>
  <c r="AK39" i="7" s="1"/>
  <c r="AM39" i="7" s="1"/>
  <c r="AJ39" i="7"/>
  <c r="M34" i="7"/>
  <c r="O34" i="7" s="1"/>
  <c r="Q34" i="7" s="1"/>
  <c r="AI14" i="7"/>
  <c r="AK14" i="7" s="1"/>
  <c r="AM14" i="7" s="1"/>
  <c r="AI33" i="7"/>
  <c r="AK33" i="7" s="1"/>
  <c r="AM33" i="7" s="1"/>
  <c r="AI64" i="7"/>
  <c r="AK64" i="7" s="1"/>
  <c r="AM64" i="7" s="1"/>
  <c r="AJ64" i="7"/>
  <c r="AJ59" i="7"/>
  <c r="AI59" i="7"/>
  <c r="AK59" i="7" s="1"/>
  <c r="AM59" i="7" s="1"/>
  <c r="M55" i="7"/>
  <c r="O55" i="7" s="1"/>
  <c r="Q55" i="7" s="1"/>
  <c r="X59" i="7"/>
  <c r="Z59" i="7" s="1"/>
  <c r="AB59" i="7" s="1"/>
  <c r="AI37" i="7"/>
  <c r="AK37" i="7" s="1"/>
  <c r="AM37" i="7" s="1"/>
  <c r="AJ37" i="7"/>
  <c r="Y10" i="7"/>
  <c r="X10" i="7"/>
  <c r="Z10" i="7" s="1"/>
  <c r="X8" i="7"/>
  <c r="Z8" i="7" s="1"/>
  <c r="M61" i="7"/>
  <c r="O61" i="7" s="1"/>
  <c r="Q61" i="7" s="1"/>
  <c r="M64" i="7"/>
  <c r="O64" i="7" s="1"/>
  <c r="Q64" i="7" s="1"/>
  <c r="AJ36" i="7"/>
  <c r="AI36" i="7"/>
  <c r="AK36" i="7" s="1"/>
  <c r="AM36" i="7" s="1"/>
  <c r="X47" i="7"/>
  <c r="Z47" i="7" s="1"/>
  <c r="AB47" i="7" s="1"/>
  <c r="Y16" i="7"/>
  <c r="X16" i="7"/>
  <c r="Z16" i="7" s="1"/>
  <c r="M41" i="7"/>
  <c r="O41" i="7" s="1"/>
  <c r="Q41" i="7" s="1"/>
  <c r="Y58" i="7"/>
  <c r="X58" i="7"/>
  <c r="Z58" i="7" s="1"/>
  <c r="AB58" i="7" s="1"/>
  <c r="AI38" i="7"/>
  <c r="AK38" i="7" s="1"/>
  <c r="AM38" i="7" s="1"/>
  <c r="Y20" i="7"/>
  <c r="X20" i="7"/>
  <c r="Z20" i="7" s="1"/>
  <c r="AB20" i="7" s="1"/>
  <c r="X24" i="7"/>
  <c r="Z24" i="7" s="1"/>
  <c r="AB24" i="7" s="1"/>
  <c r="N35" i="7"/>
  <c r="M35" i="7"/>
  <c r="O35" i="7" s="1"/>
  <c r="Q35" i="7" s="1"/>
  <c r="M31" i="7"/>
  <c r="O31" i="7" s="1"/>
  <c r="Q31" i="7" s="1"/>
  <c r="N8" i="7"/>
  <c r="M8" i="7"/>
  <c r="O8" i="7" s="1"/>
  <c r="AI62" i="7"/>
  <c r="AK62" i="7" s="1"/>
  <c r="AM62" i="7" s="1"/>
  <c r="AJ62" i="7"/>
  <c r="Y49" i="7"/>
  <c r="X49" i="7"/>
  <c r="Z49" i="7" s="1"/>
  <c r="AB49" i="7" s="1"/>
  <c r="M29" i="7"/>
  <c r="O29" i="7" s="1"/>
  <c r="Q29" i="7" s="1"/>
  <c r="U66" i="7"/>
  <c r="W6" i="7"/>
  <c r="AI13" i="7"/>
  <c r="AK13" i="7" s="1"/>
  <c r="AM13" i="7" s="1"/>
  <c r="Y56" i="7"/>
  <c r="X56" i="7"/>
  <c r="Z56" i="7" s="1"/>
  <c r="AB56" i="7" s="1"/>
  <c r="M10" i="7"/>
  <c r="O10" i="7" s="1"/>
  <c r="AH9" i="7"/>
  <c r="C25" i="2"/>
  <c r="C27" i="2"/>
  <c r="D7" i="2"/>
  <c r="D8" i="2"/>
  <c r="L12" i="7"/>
  <c r="M15" i="7"/>
  <c r="O15" i="7" s="1"/>
  <c r="N15" i="7"/>
  <c r="X63" i="7"/>
  <c r="Z63" i="7" s="1"/>
  <c r="AB63" i="7" s="1"/>
  <c r="X62" i="7"/>
  <c r="Z62" i="7" s="1"/>
  <c r="AB62" i="7" s="1"/>
  <c r="X28" i="7"/>
  <c r="Z28" i="7" s="1"/>
  <c r="AB28" i="7" s="1"/>
  <c r="Y28" i="7"/>
  <c r="AI15" i="7"/>
  <c r="AK15" i="7" s="1"/>
  <c r="AM15" i="7" s="1"/>
  <c r="AI50" i="7"/>
  <c r="AK50" i="7" s="1"/>
  <c r="AM50" i="7" s="1"/>
  <c r="AI60" i="7"/>
  <c r="AK60" i="7" s="1"/>
  <c r="AM60" i="7" s="1"/>
  <c r="AJ60" i="7"/>
  <c r="AI21" i="7"/>
  <c r="AK21" i="7" s="1"/>
  <c r="AM21" i="7" s="1"/>
  <c r="M46" i="7"/>
  <c r="O46" i="7" s="1"/>
  <c r="Q46" i="7" s="1"/>
  <c r="X23" i="7"/>
  <c r="Z23" i="7" s="1"/>
  <c r="AB23" i="7" s="1"/>
  <c r="Y23" i="7"/>
  <c r="M21" i="7"/>
  <c r="O21" i="7" s="1"/>
  <c r="Q21" i="7" s="1"/>
  <c r="AI10" i="7"/>
  <c r="AK10" i="7" s="1"/>
  <c r="AM10" i="7" s="1"/>
  <c r="AJ10" i="7"/>
  <c r="M28" i="7"/>
  <c r="O28" i="7" s="1"/>
  <c r="Q28" i="7" s="1"/>
  <c r="AI45" i="7"/>
  <c r="AK45" i="7" s="1"/>
  <c r="AM45" i="7" s="1"/>
  <c r="M26" i="7"/>
  <c r="O26" i="7" s="1"/>
  <c r="Q26" i="7" s="1"/>
  <c r="X61" i="7"/>
  <c r="Z61" i="7" s="1"/>
  <c r="AB61" i="7" s="1"/>
  <c r="AI53" i="7"/>
  <c r="AK53" i="7" s="1"/>
  <c r="AM53" i="7" s="1"/>
  <c r="AI46" i="7"/>
  <c r="AK46" i="7" s="1"/>
  <c r="AM46" i="7" s="1"/>
  <c r="AI25" i="7"/>
  <c r="AK25" i="7" s="1"/>
  <c r="AM25" i="7" s="1"/>
  <c r="X64" i="7"/>
  <c r="Z64" i="7" s="1"/>
  <c r="AB64" i="7" s="1"/>
  <c r="M54" i="7"/>
  <c r="O54" i="7" s="1"/>
  <c r="Q54" i="7" s="1"/>
  <c r="AI17" i="7"/>
  <c r="AK17" i="7" s="1"/>
  <c r="AM17" i="7" s="1"/>
  <c r="M40" i="7"/>
  <c r="O40" i="7" s="1"/>
  <c r="Q40" i="7" s="1"/>
  <c r="N40" i="7"/>
  <c r="X46" i="7"/>
  <c r="Z46" i="7" s="1"/>
  <c r="AB46" i="7" s="1"/>
  <c r="Y46" i="7"/>
  <c r="X65" i="7"/>
  <c r="Z65" i="7" s="1"/>
  <c r="AB65" i="7" s="1"/>
  <c r="AI51" i="7"/>
  <c r="AK51" i="7" s="1"/>
  <c r="AM51" i="7" s="1"/>
  <c r="M48" i="7"/>
  <c r="O48" i="7" s="1"/>
  <c r="Q48" i="7" s="1"/>
  <c r="X50" i="7"/>
  <c r="Z50" i="7" s="1"/>
  <c r="AB50" i="7" s="1"/>
  <c r="Y50" i="7"/>
  <c r="AI41" i="7"/>
  <c r="AK41" i="7" s="1"/>
  <c r="AM41" i="7" s="1"/>
  <c r="AJ41" i="7"/>
  <c r="X21" i="7"/>
  <c r="Z21" i="7" s="1"/>
  <c r="AB21" i="7" s="1"/>
  <c r="Y21" i="7"/>
  <c r="X9" i="7"/>
  <c r="Z9" i="7" s="1"/>
  <c r="Y9" i="7"/>
  <c r="AI29" i="7"/>
  <c r="AK29" i="7" s="1"/>
  <c r="AM29" i="7" s="1"/>
  <c r="AJ29" i="7"/>
  <c r="X30" i="7"/>
  <c r="Z30" i="7" s="1"/>
  <c r="AB30" i="7" s="1"/>
  <c r="M45" i="7"/>
  <c r="O45" i="7" s="1"/>
  <c r="Q45" i="7" s="1"/>
  <c r="AI58" i="7"/>
  <c r="AK58" i="7" s="1"/>
  <c r="AM58" i="7" s="1"/>
  <c r="M23" i="7"/>
  <c r="O23" i="7" s="1"/>
  <c r="Q23" i="7" s="1"/>
  <c r="C26" i="8" l="1"/>
  <c r="Q16" i="7"/>
  <c r="C23" i="8"/>
  <c r="Q13" i="7"/>
  <c r="AI40" i="7"/>
  <c r="AK40" i="7" s="1"/>
  <c r="AM40" i="7" s="1"/>
  <c r="AI9" i="7"/>
  <c r="AK9" i="7" s="1"/>
  <c r="AM9" i="7" s="1"/>
  <c r="Y6" i="7"/>
  <c r="X6" i="7"/>
  <c r="N29" i="7"/>
  <c r="N31" i="7"/>
  <c r="Y24" i="7"/>
  <c r="AJ38" i="7"/>
  <c r="N41" i="7"/>
  <c r="Y47" i="7"/>
  <c r="N64" i="7"/>
  <c r="Y8" i="7"/>
  <c r="N55" i="7"/>
  <c r="AJ14" i="7"/>
  <c r="Y14" i="7"/>
  <c r="Y18" i="7"/>
  <c r="AK6" i="7"/>
  <c r="C21" i="8"/>
  <c r="Q11" i="7"/>
  <c r="L66" i="7"/>
  <c r="M6" i="7"/>
  <c r="AJ19" i="7"/>
  <c r="N58" i="7"/>
  <c r="N53" i="7"/>
  <c r="AJ55" i="7"/>
  <c r="Y35" i="7"/>
  <c r="AJ56" i="7"/>
  <c r="Y31" i="7"/>
  <c r="AJ22" i="7"/>
  <c r="Y39" i="7"/>
  <c r="AJ54" i="7"/>
  <c r="N7" i="7"/>
  <c r="AJ57" i="7"/>
  <c r="N25" i="7"/>
  <c r="Y37" i="7"/>
  <c r="AJ49" i="7"/>
  <c r="AJ7" i="7"/>
  <c r="AJ16" i="7"/>
  <c r="N24" i="7"/>
  <c r="AJ12" i="7"/>
  <c r="N27" i="7"/>
  <c r="AJ27" i="7"/>
  <c r="M30" i="7"/>
  <c r="O30" i="7" s="1"/>
  <c r="Q30" i="7" s="1"/>
  <c r="Y33" i="7"/>
  <c r="AJ26" i="7"/>
  <c r="Y43" i="7"/>
  <c r="N16" i="7"/>
  <c r="N13" i="7"/>
  <c r="M65" i="7"/>
  <c r="O65" i="7" s="1"/>
  <c r="Q65" i="7" s="1"/>
  <c r="N65" i="7"/>
  <c r="AJ48" i="7"/>
  <c r="AJ44" i="7"/>
  <c r="AI44" i="7"/>
  <c r="AK44" i="7" s="1"/>
  <c r="AM44" i="7" s="1"/>
  <c r="Y34" i="7"/>
  <c r="X34" i="7"/>
  <c r="Z34" i="7" s="1"/>
  <c r="AB34" i="7" s="1"/>
  <c r="X44" i="7"/>
  <c r="Z44" i="7" s="1"/>
  <c r="AB44" i="7" s="1"/>
  <c r="Y36" i="7"/>
  <c r="X36" i="7"/>
  <c r="Z36" i="7" s="1"/>
  <c r="AB36" i="7" s="1"/>
  <c r="M36" i="7"/>
  <c r="O36" i="7" s="1"/>
  <c r="Q36" i="7" s="1"/>
  <c r="C29" i="2"/>
  <c r="C28" i="2"/>
  <c r="C20" i="8"/>
  <c r="Q10" i="7"/>
  <c r="E22" i="8"/>
  <c r="AB12" i="7"/>
  <c r="C27" i="8"/>
  <c r="Q17" i="7"/>
  <c r="AJ42" i="7"/>
  <c r="AI42" i="7"/>
  <c r="AK42" i="7" s="1"/>
  <c r="AM42" i="7" s="1"/>
  <c r="AH11" i="7"/>
  <c r="AF66" i="7"/>
  <c r="E27" i="8"/>
  <c r="AB17" i="7"/>
  <c r="N23" i="7"/>
  <c r="N45" i="7"/>
  <c r="AJ51" i="7"/>
  <c r="AJ17" i="7"/>
  <c r="Y64" i="7"/>
  <c r="AJ46" i="7"/>
  <c r="Y61" i="7"/>
  <c r="AJ45" i="7"/>
  <c r="AJ21" i="7"/>
  <c r="AJ50" i="7"/>
  <c r="Y63" i="7"/>
  <c r="N12" i="7"/>
  <c r="M12" i="7"/>
  <c r="O12" i="7" s="1"/>
  <c r="N10" i="7"/>
  <c r="AJ13" i="7"/>
  <c r="E18" i="8"/>
  <c r="AB8" i="7"/>
  <c r="E24" i="8"/>
  <c r="AB14" i="7"/>
  <c r="W11" i="7"/>
  <c r="N33" i="7"/>
  <c r="Y12" i="7"/>
  <c r="N17" i="7"/>
  <c r="E23" i="8"/>
  <c r="AB13" i="7"/>
  <c r="E17" i="8"/>
  <c r="AB7" i="7"/>
  <c r="C17" i="8"/>
  <c r="Q7" i="7"/>
  <c r="B29" i="2"/>
  <c r="B28" i="2"/>
  <c r="AJ58" i="7"/>
  <c r="Y30" i="7"/>
  <c r="E19" i="8"/>
  <c r="AB9" i="7"/>
  <c r="N48" i="7"/>
  <c r="Y65" i="7"/>
  <c r="N54" i="7"/>
  <c r="AJ25" i="7"/>
  <c r="AJ53" i="7"/>
  <c r="N26" i="7"/>
  <c r="N28" i="7"/>
  <c r="N21" i="7"/>
  <c r="N46" i="7"/>
  <c r="AJ15" i="7"/>
  <c r="Y62" i="7"/>
  <c r="C25" i="8"/>
  <c r="Q15" i="7"/>
  <c r="C18" i="8"/>
  <c r="Q8" i="7"/>
  <c r="E26" i="8"/>
  <c r="AB16" i="7"/>
  <c r="N61" i="7"/>
  <c r="E20" i="8"/>
  <c r="AB10" i="7"/>
  <c r="Y59" i="7"/>
  <c r="AJ33" i="7"/>
  <c r="N34" i="7"/>
  <c r="Y53" i="7"/>
  <c r="C24" i="8"/>
  <c r="Q14" i="7"/>
  <c r="Y17" i="7"/>
  <c r="AJ8" i="7"/>
  <c r="N32" i="7"/>
  <c r="Y48" i="7"/>
  <c r="D29" i="2"/>
  <c r="D28" i="2"/>
  <c r="AJ23" i="7"/>
  <c r="AJ24" i="7"/>
  <c r="N42" i="7"/>
  <c r="AI32" i="7"/>
  <c r="AK32" i="7" s="1"/>
  <c r="AM32" i="7" s="1"/>
  <c r="Y57" i="7"/>
  <c r="AJ65" i="7"/>
  <c r="AI65" i="7"/>
  <c r="AK65" i="7" s="1"/>
  <c r="AM65" i="7" s="1"/>
  <c r="AI34" i="7"/>
  <c r="AK34" i="7" s="1"/>
  <c r="AM34" i="7" s="1"/>
  <c r="AJ30" i="7"/>
  <c r="AI30" i="7"/>
  <c r="AK30" i="7" s="1"/>
  <c r="AM30" i="7" s="1"/>
  <c r="Y25" i="7"/>
  <c r="M38" i="7"/>
  <c r="O38" i="7" s="1"/>
  <c r="Q38" i="7" s="1"/>
  <c r="N38" i="7"/>
  <c r="AJ52" i="7"/>
  <c r="AJ28" i="7"/>
  <c r="E25" i="8"/>
  <c r="AB15" i="7"/>
  <c r="N57" i="7"/>
  <c r="N44" i="7"/>
  <c r="M9" i="7"/>
  <c r="O9" i="7" s="1"/>
  <c r="N9" i="7"/>
  <c r="X42" i="7"/>
  <c r="Z42" i="7" s="1"/>
  <c r="AB42" i="7" s="1"/>
  <c r="X40" i="7"/>
  <c r="Z40" i="7" s="1"/>
  <c r="AB40" i="7" s="1"/>
  <c r="C22" i="8" l="1"/>
  <c r="Q12" i="7"/>
  <c r="N36" i="7"/>
  <c r="Y44" i="7"/>
  <c r="Z6" i="7"/>
  <c r="AJ9" i="7"/>
  <c r="Y40" i="7"/>
  <c r="AJ34" i="7"/>
  <c r="AJ11" i="7"/>
  <c r="D30" i="2" s="1"/>
  <c r="AI11" i="7"/>
  <c r="AH66" i="7"/>
  <c r="M66" i="7"/>
  <c r="O6" i="7"/>
  <c r="C19" i="8"/>
  <c r="Q9" i="7"/>
  <c r="Y42" i="7"/>
  <c r="AJ32" i="7"/>
  <c r="X11" i="7"/>
  <c r="Z11" i="7" s="1"/>
  <c r="N30" i="7"/>
  <c r="N6" i="7"/>
  <c r="AM6" i="7"/>
  <c r="AL6" i="7"/>
  <c r="W66" i="7"/>
  <c r="AJ40" i="7"/>
  <c r="O66" i="7" l="1"/>
  <c r="C16" i="8"/>
  <c r="Q6" i="7"/>
  <c r="Q66" i="7" s="1"/>
  <c r="Q67" i="7" s="1"/>
  <c r="B40" i="2" s="1"/>
  <c r="Q68" i="7"/>
  <c r="B41" i="2" s="1"/>
  <c r="P6" i="7"/>
  <c r="E16" i="8"/>
  <c r="Z66" i="7"/>
  <c r="AB6" i="7"/>
  <c r="AB66" i="7" s="1"/>
  <c r="AB67" i="7" s="1"/>
  <c r="C40" i="2" s="1"/>
  <c r="AB68" i="7"/>
  <c r="C41" i="2" s="1"/>
  <c r="AA6" i="7"/>
  <c r="G16" i="8"/>
  <c r="AL7" i="7"/>
  <c r="N66" i="7"/>
  <c r="B31" i="2"/>
  <c r="B30" i="2"/>
  <c r="X66" i="7"/>
  <c r="E21" i="8"/>
  <c r="AB11" i="7"/>
  <c r="Y11" i="7"/>
  <c r="AI66" i="7"/>
  <c r="AK11" i="7"/>
  <c r="D31" i="2"/>
  <c r="AJ66" i="7"/>
  <c r="G17" i="8" l="1"/>
  <c r="AL8" i="7"/>
  <c r="AM11" i="7"/>
  <c r="AM66" i="7" s="1"/>
  <c r="AM67" i="7" s="1"/>
  <c r="D40" i="2" s="1"/>
  <c r="AM68" i="7"/>
  <c r="D41" i="2" s="1"/>
  <c r="AK66" i="7"/>
  <c r="F16" i="8"/>
  <c r="AA7" i="7"/>
  <c r="Y66" i="7"/>
  <c r="C31" i="2"/>
  <c r="C30" i="2"/>
  <c r="D16" i="8"/>
  <c r="P7" i="7"/>
  <c r="D17" i="8" l="1"/>
  <c r="P8" i="7"/>
  <c r="F17" i="8"/>
  <c r="AA8" i="7"/>
  <c r="G18" i="8"/>
  <c r="AL9" i="7"/>
  <c r="F18" i="8" l="1"/>
  <c r="AA9" i="7"/>
  <c r="G19" i="8"/>
  <c r="AL10" i="7"/>
  <c r="D18" i="8"/>
  <c r="P9" i="7"/>
  <c r="G20" i="8" l="1"/>
  <c r="AL11" i="7"/>
  <c r="D19" i="8"/>
  <c r="P10" i="7"/>
  <c r="F19" i="8"/>
  <c r="AA10" i="7"/>
  <c r="D20" i="8" l="1"/>
  <c r="P11" i="7"/>
  <c r="F20" i="8"/>
  <c r="AA11" i="7"/>
  <c r="G21" i="8"/>
  <c r="AL12" i="7"/>
  <c r="G22" i="8" l="1"/>
  <c r="AL13" i="7"/>
  <c r="F21" i="8"/>
  <c r="AA12" i="7"/>
  <c r="D21" i="8"/>
  <c r="P12" i="7"/>
  <c r="F22" i="8" l="1"/>
  <c r="AA13" i="7"/>
  <c r="D22" i="8"/>
  <c r="P13" i="7"/>
  <c r="G23" i="8"/>
  <c r="AL14" i="7"/>
  <c r="D23" i="8" l="1"/>
  <c r="P14" i="7"/>
  <c r="G24" i="8"/>
  <c r="AL15" i="7"/>
  <c r="F23" i="8"/>
  <c r="AA14" i="7"/>
  <c r="G25" i="8" l="1"/>
  <c r="AL16" i="7"/>
  <c r="F24" i="8"/>
  <c r="AA15" i="7"/>
  <c r="D24" i="8"/>
  <c r="P15" i="7"/>
  <c r="D25" i="8" l="1"/>
  <c r="P16" i="7"/>
  <c r="G26" i="8"/>
  <c r="AL17" i="7"/>
  <c r="F25" i="8"/>
  <c r="AA16" i="7"/>
  <c r="G27" i="8" l="1"/>
  <c r="AL18" i="7"/>
  <c r="AL19" i="7" s="1"/>
  <c r="AL20" i="7" s="1"/>
  <c r="AL21" i="7" s="1"/>
  <c r="AL22" i="7" s="1"/>
  <c r="AL23" i="7" s="1"/>
  <c r="AL24" i="7" s="1"/>
  <c r="AL25" i="7" s="1"/>
  <c r="AL26" i="7" s="1"/>
  <c r="AL27" i="7" s="1"/>
  <c r="AL28" i="7" s="1"/>
  <c r="AL29" i="7" s="1"/>
  <c r="AL30" i="7" s="1"/>
  <c r="AL31" i="7" s="1"/>
  <c r="AL32" i="7" s="1"/>
  <c r="AL33" i="7" s="1"/>
  <c r="AL34" i="7" s="1"/>
  <c r="AL35" i="7" s="1"/>
  <c r="AL36" i="7" s="1"/>
  <c r="AL37" i="7" s="1"/>
  <c r="AL38" i="7" s="1"/>
  <c r="AL39" i="7" s="1"/>
  <c r="AL40" i="7" s="1"/>
  <c r="AL41" i="7" s="1"/>
  <c r="AL42" i="7" s="1"/>
  <c r="AL43" i="7" s="1"/>
  <c r="AL44" i="7" s="1"/>
  <c r="AL45" i="7" s="1"/>
  <c r="AL46" i="7" s="1"/>
  <c r="AL47" i="7" s="1"/>
  <c r="AL48" i="7" s="1"/>
  <c r="AL49" i="7" s="1"/>
  <c r="AL50" i="7" s="1"/>
  <c r="AL51" i="7" s="1"/>
  <c r="AL52" i="7" s="1"/>
  <c r="AL53" i="7" s="1"/>
  <c r="AL54" i="7" s="1"/>
  <c r="AL55" i="7" s="1"/>
  <c r="AL56" i="7" s="1"/>
  <c r="AL57" i="7" s="1"/>
  <c r="AL58" i="7" s="1"/>
  <c r="AL59" i="7" s="1"/>
  <c r="AL60" i="7" s="1"/>
  <c r="AL61" i="7" s="1"/>
  <c r="AL62" i="7" s="1"/>
  <c r="AL63" i="7" s="1"/>
  <c r="AL64" i="7" s="1"/>
  <c r="AL65" i="7" s="1"/>
  <c r="F26" i="8"/>
  <c r="AA17" i="7"/>
  <c r="D26" i="8"/>
  <c r="P17" i="7"/>
  <c r="F27" i="8" l="1"/>
  <c r="AA18" i="7"/>
  <c r="AA19" i="7" s="1"/>
  <c r="AA20" i="7" s="1"/>
  <c r="AA21" i="7" s="1"/>
  <c r="AA22" i="7" s="1"/>
  <c r="AA23" i="7" s="1"/>
  <c r="AA24" i="7" s="1"/>
  <c r="AA25" i="7" s="1"/>
  <c r="AA26" i="7" s="1"/>
  <c r="AA27" i="7" s="1"/>
  <c r="AA28" i="7" s="1"/>
  <c r="AA29" i="7" s="1"/>
  <c r="AA30" i="7" s="1"/>
  <c r="AA31" i="7" s="1"/>
  <c r="AA32" i="7" s="1"/>
  <c r="AA33" i="7" s="1"/>
  <c r="AA34" i="7" s="1"/>
  <c r="AA35" i="7" s="1"/>
  <c r="AA36" i="7" s="1"/>
  <c r="AA37" i="7" s="1"/>
  <c r="AA38" i="7" s="1"/>
  <c r="AA39" i="7" s="1"/>
  <c r="AA40" i="7" s="1"/>
  <c r="AA41" i="7" s="1"/>
  <c r="AA42" i="7" s="1"/>
  <c r="AA43" i="7" s="1"/>
  <c r="AA44" i="7" s="1"/>
  <c r="AA45" i="7" s="1"/>
  <c r="AA46" i="7" s="1"/>
  <c r="AA47" i="7" s="1"/>
  <c r="AA48" i="7" s="1"/>
  <c r="AA49" i="7" s="1"/>
  <c r="AA50" i="7" s="1"/>
  <c r="AA51" i="7" s="1"/>
  <c r="AA52" i="7" s="1"/>
  <c r="AA53" i="7" s="1"/>
  <c r="AA54" i="7" s="1"/>
  <c r="AA55" i="7" s="1"/>
  <c r="AA56" i="7" s="1"/>
  <c r="AA57" i="7" s="1"/>
  <c r="AA58" i="7" s="1"/>
  <c r="AA59" i="7" s="1"/>
  <c r="AA60" i="7" s="1"/>
  <c r="AA61" i="7" s="1"/>
  <c r="AA62" i="7" s="1"/>
  <c r="AA63" i="7" s="1"/>
  <c r="AA64" i="7" s="1"/>
  <c r="AA65" i="7" s="1"/>
  <c r="D27" i="8"/>
  <c r="P18" i="7"/>
  <c r="P19" i="7" s="1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P33" i="7" s="1"/>
  <c r="P34" i="7" s="1"/>
  <c r="P35" i="7" s="1"/>
  <c r="P36" i="7" s="1"/>
  <c r="P37" i="7" s="1"/>
  <c r="P38" i="7" s="1"/>
  <c r="P39" i="7" s="1"/>
  <c r="P40" i="7" s="1"/>
  <c r="P41" i="7" s="1"/>
  <c r="P42" i="7" s="1"/>
  <c r="P43" i="7" s="1"/>
  <c r="P44" i="7" s="1"/>
  <c r="P45" i="7" s="1"/>
  <c r="P46" i="7" s="1"/>
  <c r="P47" i="7" s="1"/>
  <c r="P48" i="7" s="1"/>
  <c r="P49" i="7" s="1"/>
  <c r="P50" i="7" s="1"/>
  <c r="P51" i="7" s="1"/>
  <c r="P52" i="7" s="1"/>
  <c r="P53" i="7" s="1"/>
  <c r="P54" i="7" s="1"/>
  <c r="P55" i="7" s="1"/>
  <c r="P56" i="7" s="1"/>
  <c r="P57" i="7" s="1"/>
  <c r="P58" i="7" s="1"/>
  <c r="P59" i="7" s="1"/>
  <c r="P60" i="7" s="1"/>
  <c r="P61" i="7" s="1"/>
  <c r="P62" i="7" s="1"/>
  <c r="P63" i="7" s="1"/>
  <c r="P64" i="7" s="1"/>
  <c r="P65" i="7" s="1"/>
  <c r="AL66" i="7"/>
  <c r="D38" i="2"/>
  <c r="P66" i="7" l="1"/>
  <c r="B38" i="2"/>
  <c r="AA66" i="7"/>
  <c r="C38" i="2"/>
</calcChain>
</file>

<file path=xl/sharedStrings.xml><?xml version="1.0" encoding="utf-8"?>
<sst xmlns="http://schemas.openxmlformats.org/spreadsheetml/2006/main" count="778" uniqueCount="648">
  <si>
    <t>DỰ ÁN PHÒNG KHÁM NHA KHOA QUỐC TẾ PAKSE — BẢN MASTER HOÀN CHỈNH</t>
  </si>
  <si>
    <t>Hồ sơ mô hình tài chính 5 năm &amp; Thẩm định phương án đầu tư (Enterprise Institutional Edition)</t>
  </si>
  <si>
    <t>I. THÔNG TIN TỔNG QUAN DỰ ÁN &amp; THÔNG SỐ ĐẦU TƯ</t>
  </si>
  <si>
    <t>Tên dự án:</t>
  </si>
  <si>
    <t>Phòng khám Nha khoa Quốc tế Pakse (Pakse International Dental Clinic)</t>
  </si>
  <si>
    <t>Cơ quan cấp phép:</t>
  </si>
  <si>
    <t>Sở Y tế tỉnh Champasak &amp; MPI Lào</t>
  </si>
  <si>
    <t>Địa điểm:</t>
  </si>
  <si>
    <t>Đường No.13 / Khu vực trung tâm Chợ Đào Hương, Pakse, Lào</t>
  </si>
  <si>
    <t>Hình thức đầu tư:</t>
  </si>
  <si>
    <t>Doanh nghiệp 100% vốn nước ngoài (WFOE)</t>
  </si>
  <si>
    <t>Quy mô ban đầu:</t>
  </si>
  <si>
    <t>3 Ghế nha khoa cao cấp, 1 Hệ thống CT ConeBeam Panorama 3D</t>
  </si>
  <si>
    <t>Thời gian hoàn vốn:</t>
  </si>
  <si>
    <t>3 – 6 THÁNG (theo 3 kịch bản doanh thu ngày)</t>
  </si>
  <si>
    <t>Tổng vốn đầu tư (CAPEX):</t>
  </si>
  <si>
    <t>$127.872,72 USD (~3.309,66 triệu VNĐ)</t>
  </si>
  <si>
    <t>Định phí hoạt động:</t>
  </si>
  <si>
    <t>$13.342,39 USD/tháng (~345,34 triệu VNĐ/tháng)</t>
  </si>
  <si>
    <t>Mục tiêu doanh thu ngày:</t>
  </si>
  <si>
    <t>MIN: 80 tr/ngày | KỲ VỌNG: 140 tr/ngày | MAX: 200 tr/ngày</t>
  </si>
  <si>
    <t>Thuê mặt bằng (trả 1 năm):</t>
  </si>
  <si>
    <t>$500 USD/tháng (12 tháng = $6.000 USD)</t>
  </si>
  <si>
    <t>II. MỤC LỤC ĐIỀU HÀNH &amp; KIẾN TRÚC MÔ HÌNH (11 WORK SHEETS)</t>
  </si>
  <si>
    <t>Mã Sheet</t>
  </si>
  <si>
    <t>Tên Sheet</t>
  </si>
  <si>
    <t>Nội dung &amp; Vai trò trong thẩm định</t>
  </si>
  <si>
    <t>Đối tượng sử dụng</t>
  </si>
  <si>
    <t>01</t>
  </si>
  <si>
    <t>01_Doc_truoc</t>
  </si>
  <si>
    <t>Mục lục điều hành, thông tin dự án, quy ước ký hiệu tài chính &amp; hướng dẫn sử dụng</t>
  </si>
  <si>
    <t>Tất cả thành viên</t>
  </si>
  <si>
    <t>02</t>
  </si>
  <si>
    <t>02_Executive_Dashboard</t>
  </si>
  <si>
    <t>Dashboard điều hành: Thẻ KPI, so sánh 3 kịch bản, chuyển đổi tiền tệ VND/USD/LAK</t>
  </si>
  <si>
    <t>HĐQT &amp; Nhà đầu tư</t>
  </si>
  <si>
    <t>03</t>
  </si>
  <si>
    <t>03_Gia_dinh_Vi_mo</t>
  </si>
  <si>
    <t>Giả định vĩ mô: Tỷ giá VCB/BCEL, lạm phát Lào 7.8%, thuế CIT 20%, WACC 15%, ramp-up</t>
  </si>
  <si>
    <t>Bộ phận Tài chính</t>
  </si>
  <si>
    <t>04</t>
  </si>
  <si>
    <t>04_Co_cau_Doanh_thu</t>
  </si>
  <si>
    <t>Bóc tách doanh thu theo 7 nhóm dịch vụ, số ca/ngày, năng lực tiếp nhận của 3 ghế nha</t>
  </si>
  <si>
    <t>Giám đốc Kỹ thuật &amp; Sale</t>
  </si>
  <si>
    <t>05</t>
  </si>
  <si>
    <t>05_Chi_phi_Van_hanh</t>
  </si>
  <si>
    <t>Chi tiết định phí bộ máy: Lương 8 nhân sự, mặt bằng 100m², MKT ($5k), bảo trì, pháp lý</t>
  </si>
  <si>
    <t>Trưởng phòng Vận hành</t>
  </si>
  <si>
    <t>06</t>
  </si>
  <si>
    <t>06_CAPEX_Dau_tu</t>
  </si>
  <si>
    <t>Chi tiết 21 hạng mục đầu tư ban đầu: Ghế nha, Panorama CT, cải tạo, pháp lý ($127.872 USD)</t>
  </si>
  <si>
    <t>Hội đồng Cổ đông</t>
  </si>
  <si>
    <t>07</t>
  </si>
  <si>
    <t>07_Dong_tien_60T</t>
  </si>
  <si>
    <t>Bảng lưu chuyển tiền tệ 60 tháng (5 năm) song song 3 kịch bản: EBITDA, NPAT, DCF, IRR</t>
  </si>
  <si>
    <t>Bộ phận Thẩm định</t>
  </si>
  <si>
    <t>08</t>
  </si>
  <si>
    <t>08_Phan_tich_Hoan_von</t>
  </si>
  <si>
    <t>Phân tích điểm hòa vốn (vận hành &amp; toàn phần), bóc tách chi trước mở cửa vs tự nuôi sau thu</t>
  </si>
  <si>
    <t>HĐQT &amp; Kế toán</t>
  </si>
  <si>
    <t>09</t>
  </si>
  <si>
    <t>09_Phan_tich_Do_nhay</t>
  </si>
  <si>
    <t>Ma trận độ nhạy 2 chiều: Doanh thu vs Chi phí, Biến động tỷ giá USD/VND/LAK, Lãi suất WACC</t>
  </si>
  <si>
    <t>Quản trị rủi ro</t>
  </si>
  <si>
    <t>10</t>
  </si>
  <si>
    <t>10_Kiem_tra_Dung_luong</t>
  </si>
  <si>
    <t>Kiểm định dung sai cầu thị trường Pakse/Champasak, 3 phân khúc mục tiêu &amp; cạnh tranh Thái</t>
  </si>
  <si>
    <t>Giám đốc Chiến lược</t>
  </si>
  <si>
    <t>11</t>
  </si>
  <si>
    <t>11_Nguon_Tai_lieu</t>
  </si>
  <si>
    <t>Hồ sơ nguồn chứng từ: Tỷ giá BCEL, luật thuế Lào số 88/NA, khảo sát giá thực tế địa phương</t>
  </si>
  <si>
    <t>Pháp chế &amp; Thư ký</t>
  </si>
  <si>
    <t>III. QUY ƯỚC MÀU SẮC &amp; CHUẨN MỰC TÀI CHÍNH QUỐC TẾ</t>
  </si>
  <si>
    <t>Màu sắc nhận diện</t>
  </si>
  <si>
    <t>Ý nghĩa trong mô hình</t>
  </si>
  <si>
    <t>Quy tắc thao tác</t>
  </si>
  <si>
    <t>Ô NỀN XANH NHẠT (Blue Tint)</t>
  </si>
  <si>
    <t>Ô NHẬP LIỆU GIẢ ĐỊNH (Inputs)</t>
  </si>
  <si>
    <t>Người dùng có thể thay đổi số liệu để thử nghiệm phương án mới</t>
  </si>
  <si>
    <t>Ô NỀN TRẮNG CHỮ ĐEN</t>
  </si>
  <si>
    <t>CÔNG THỨC TÍNH TOÁN TỰ ĐỘNG</t>
  </si>
  <si>
    <t>Được bảo vệ bằng công thức Excel liên kết động, không sửa tay</t>
  </si>
  <si>
    <t>Ô NỀN VÀNG NHẠT (Highlight)</t>
  </si>
  <si>
    <t>CHỈ TIÊU THEN CHỐT / TỔNG CỘNG</t>
  </si>
  <si>
    <t>Số liệu tổng kết P&amp;L, CAPEX, Dòng tiền lũy kế</t>
  </si>
  <si>
    <t>NỀN ĐỎ / XANH DƯƠNG / LÁ CÂY</t>
  </si>
  <si>
    <t>3 KỊCH BẢN MIN / TB / MAX</t>
  </si>
  <si>
    <t>Phân định trực quan 3 kịch bản doanh thu ngày (80 / 140 / 200 triệu)</t>
  </si>
  <si>
    <t>BẢNG ĐIỀU HÀNH TỔNG HỢP &amp; CHỈ SỐ TÀI CHÍNH THEN CHỐT (EXECUTIVE DASHBOARD)</t>
  </si>
  <si>
    <t>Dự án Nha khoa Quốc tế Pakse — Phân tích toàn diện 3 kịch bản Doanh thu ngày (Min 80 tr / TB 140 tr / Max 200 tr)</t>
  </si>
  <si>
    <t>CHỌN TIỀN TỆ HIỂN THỊ:</t>
  </si>
  <si>
    <t>VND</t>
  </si>
  <si>
    <t>Đơn vị tính:</t>
  </si>
  <si>
    <t>Tỷ giá quy đổi:</t>
  </si>
  <si>
    <t>KỊCH BẢN TIÊU CỰC (MIN: 80 TR/NGÀY)</t>
  </si>
  <si>
    <t>KỊCH BẢN KỲ VỌNG (TB: 140 TR/NGÀY)</t>
  </si>
  <si>
    <t>KỊCH BẢN TÍCH CỰC (MAX: 200 TR/NGÀY)</t>
  </si>
  <si>
    <t>CHỈ TIÊU TÀI CHÍNH &amp; VẬN HÀNH CỐT LÕI</t>
  </si>
  <si>
    <t>TIÊU CỰC (MIN)</t>
  </si>
  <si>
    <t>KỲ VỌNG (TRUNG BÌNH)</t>
  </si>
  <si>
    <t>TÍCH CỰC (MAX)</t>
  </si>
  <si>
    <t>ĐƠN VỊ</t>
  </si>
  <si>
    <t>CƠ SỞ TÍNH TOÁN &amp; GHI CHÚ</t>
  </si>
  <si>
    <t>I. DOANH THU &amp; HIỆU SUẤT KHAI THÁC</t>
  </si>
  <si>
    <t>Doanh thu mục tiêu 1 NGÀY</t>
  </si>
  <si>
    <t>Mức doanh thu ngày mục tiêu (Min 80 tr, TB 140 tr, Max 200 tr)</t>
  </si>
  <si>
    <t>Doanh thu mục tiêu 1 THÁNG (26 ngày)</t>
  </si>
  <si>
    <t>Doanh thu thực tế Năm 1 (gồm 5 tháng tăng tốc)</t>
  </si>
  <si>
    <t>Tính thận trọng độ trễ thâm nhập thị trường (T1: 30%, T2: 45%, T3: 60%, T4: 75%, T5: 90%)</t>
  </si>
  <si>
    <t>Doanh thu ổn định / năm (12 tháng đầy tải)</t>
  </si>
  <si>
    <t>Doanh thu cả năm khi phòng khám vận hành trọn vẹn 100% công suất</t>
  </si>
  <si>
    <t>Lượt khám điều trị dự kiến / ngày</t>
  </si>
  <si>
    <t>Lượt / ngày</t>
  </si>
  <si>
    <t>Ước tính theo doanh thu bình quân $239,45 USD (~6,2 triệu VNĐ)/lượt từ file gốc</t>
  </si>
  <si>
    <t>II. CƠ CẤU CHI PHÍ HÀNG THÁNG (GIÁ ỔN ĐỊNH NĂM 1)</t>
  </si>
  <si>
    <t>Chi phí biến đổi / tháng (Vật tư y tế + Labo)</t>
  </si>
  <si>
    <t>Định mức 20% doanh thu (trụ implant, răng sứ, vật tư tiêu hao)</t>
  </si>
  <si>
    <t>Chi phí cố định / tháng (Mặt bằng, lương, vận hành)</t>
  </si>
  <si>
    <t>Bộ máy gốc: 2 BS ($4k), 3 Phụ tá, Lễ tân, Sale, Quản lý, Mặt bằng 100m², MKT ($5k)... (~346,6 tr)</t>
  </si>
  <si>
    <t>Tổng chi phí hoạt động / tháng</t>
  </si>
  <si>
    <t>Tỷ lệ chi phí hoạt động / Doanh thu (%)</t>
  </si>
  <si>
    <t>%</t>
  </si>
  <si>
    <t>Tỷ trọng tổng chi phí trên tổng doanh thu (chỉ chiếm ~27% - 37%)</t>
  </si>
  <si>
    <t>III. LỢI NHUẬN &amp; HIỆU QUẢ HOẠT ĐỘNG</t>
  </si>
  <si>
    <t>Lợi nhuận gộp / tháng</t>
  </si>
  <si>
    <t>Lợi nhuận EBITDA / tháng (ổn định)</t>
  </si>
  <si>
    <t>Lợi nhuận trước khấu hao, lãi vay &amp; thuế (Dòng tiền tạo ra từ hoạt động KD)</t>
  </si>
  <si>
    <t>Biên lợi nhuận EBITDA (%)</t>
  </si>
  <si>
    <t>Khấu hao tài sản / tháng (khấu hao 60 tháng)</t>
  </si>
  <si>
    <t>Khấu hao đường thẳng máy CT, ghế nha, cải tạo ($88.230 USD/60 th ~ 38 tr/th)</t>
  </si>
  <si>
    <t>Lợi nhuận trước thuế (EBT) / tháng</t>
  </si>
  <si>
    <t>Thuế thu nhập doanh nghiệp (20%) / tháng</t>
  </si>
  <si>
    <t>Thuế TNDN Lào 20% trên thu nhập chịu thuế</t>
  </si>
  <si>
    <t>Lợi nhuận sau thuế (NPAT) / tháng</t>
  </si>
  <si>
    <t>Lợi nhuận ròng kế toán hàng tháng sau khi thực hiện đầy đủ nghĩa vụ thuế</t>
  </si>
  <si>
    <t>Tổng lợi nhuận ròng Năm 1</t>
  </si>
  <si>
    <t>Lợi nhuận ròng cả năm đầu tiên (đã trừ giai đoạn tăng tốc và thuế)</t>
  </si>
  <si>
    <t>Tổng lợi nhuận ròng 5 năm lũy kế</t>
  </si>
  <si>
    <t>Tổng lợi nhuận ròng tích lũy sau thuế cả 5 năm</t>
  </si>
  <si>
    <t>IV. ĐIỂM HÒA VỐN &amp; ĐỘ AN TOÀN TÀI CHÍNH</t>
  </si>
  <si>
    <t>Doanh thu hòa vốn vận hành / tháng (EBITDA = 0)</t>
  </si>
  <si>
    <t>Doanh thu hòa vốn vận hành / ngày (26 ngày)</t>
  </si>
  <si>
    <t>Chỉ cần thu ~16,66 triệu VNĐ/ngày là đã hòa vốn 100% chi phí hoạt động!</t>
  </si>
  <si>
    <t>Tỷ lệ an toàn doanh thu (Margin of Safety)</t>
  </si>
  <si>
    <t>Biên an toàn cực lớn (79% - 92%): Doanh thu sụt giảm 79% vẫn không lỗ!</t>
  </si>
  <si>
    <t>V. VỐN ĐẦU TƯ, HOÀN VỐN &amp; ĐỊNH GIÁ (CAPEX, NPV, IRR)</t>
  </si>
  <si>
    <t>Tổng vốn đầu tư ban đầu cần huy động</t>
  </si>
  <si>
    <t>Khớp 100% CAPEX gốc: $127.872,72 USD (~3.309,66 triệu VNĐ)</t>
  </si>
  <si>
    <t>Lũy kế dòng tiền thuần sau 5 năm</t>
  </si>
  <si>
    <t>Dòng tiền thuần tích lũy sau 60 tháng (ĐÃ trừ vốn đầu tư ban đầu và thuế)</t>
  </si>
  <si>
    <t>Thời gian thu hồi vốn đầu tư (Payback Period)</t>
  </si>
  <si>
    <t>6 tháng</t>
  </si>
  <si>
    <t>4 tháng</t>
  </si>
  <si>
    <t>3 tháng</t>
  </si>
  <si>
    <t>Tháng</t>
  </si>
  <si>
    <t>Thời điểm dòng tiền tích lũy vượt điểm 0 (Hoàn vốn siêu tốc ngay trong năm đầu!)</t>
  </si>
  <si>
    <t>Giá trị hiện tại thuần (NPV 5 năm, WACC 15%)</t>
  </si>
  <si>
    <t>Chiết khấu dòng tiền 15%/năm theo chuẩn thẩm định đầu tư</t>
  </si>
  <si>
    <t>Tỷ suất sinh lời nội bộ (IRR năm)</t>
  </si>
  <si>
    <t>Tỷ suất sinh lời nội bộ hàng năm vượt trội (&gt;300% - 900%)</t>
  </si>
  <si>
    <t>ĐÁNH GIÁ CHUNG &amp; KHUYẾN NGHỊ</t>
  </si>
  <si>
    <t>Siêu hiệu quả: Thu 80 tr/ngày (~2,08 tỷ/tháng), hoàn vốn sau 6 tháng, EBITDA đạt 1,32 tỷ/tháng.</t>
  </si>
  <si>
    <t>Mục tiêu xuất sắc: Thu 140 tr/ngày (~3,64 tỷ/tháng), hoàn vốn sau 4 tháng, EBITDA đạt 2,57 tỷ/tháng.</t>
  </si>
  <si>
    <t>Kỷ lục doanh thu: Thu 200 tr/ngày (~5,20 tỷ/tháng), hoàn vốn ngay tháng thứ 3, EBITDA đạt 3,81 tỷ/tháng.</t>
  </si>
  <si>
    <t>Khuyến nghị điều hành chiến lược cho Hội đồng quản trị &amp; Cổ đông</t>
  </si>
  <si>
    <t>VI. BẢNG ĐỐI CHIẾU SONG SONG ĐA TIỀN TỆ (VND | USD) — CỐ ĐỊNH KHÔNG CẦN CHUYỂN ĐỔI</t>
  </si>
  <si>
    <t>CHỈ TIÊU THEN CHỐT</t>
  </si>
  <si>
    <t>MIN (Triệu VND)</t>
  </si>
  <si>
    <t>MIN (USD)</t>
  </si>
  <si>
    <t>TB (Triệu VND)</t>
  </si>
  <si>
    <t>TB (USD)</t>
  </si>
  <si>
    <t>MAX (Triệu VND)</t>
  </si>
  <si>
    <t>MAX (USD)</t>
  </si>
  <si>
    <t>Lợi nhuận EBITDA / tháng</t>
  </si>
  <si>
    <t>Doanh thu hòa vốn / tháng</t>
  </si>
  <si>
    <t>Tổng vốn đầu tư ban đầu (CAPEX)</t>
  </si>
  <si>
    <t>BẢNG GIẢ ĐỊNH VĨ MÔ, THUẾ, TÀI CHÍNH &amp; ĐỊNH MỨC VẬN HÀNH</t>
  </si>
  <si>
    <t>Các tham số được đối chiếu chuẩn xác theo file gốc mo_hinh_phong_kham_pakse và cập nhật tỷ giá thực tế</t>
  </si>
  <si>
    <t>I. THAM SỐ VĨ MÔ, TỶ GIÁ, THUẾ &amp; CHIẾT KHẤU</t>
  </si>
  <si>
    <t>Mã</t>
  </si>
  <si>
    <t>Tên chỉ tiêu giả định</t>
  </si>
  <si>
    <t>Giá trị</t>
  </si>
  <si>
    <t>Đơn vị</t>
  </si>
  <si>
    <t>Ký hiệu</t>
  </si>
  <si>
    <t>Nguồn / Cơ sở thẩm định</t>
  </si>
  <si>
    <t>M01</t>
  </si>
  <si>
    <t>Tỷ giá USD / VND</t>
  </si>
  <si>
    <t>VND / USD</t>
  </si>
  <si>
    <t>FX_VND</t>
  </si>
  <si>
    <t>Tỷ giá Vietcombank bán ra tham chiếu</t>
  </si>
  <si>
    <t>M02</t>
  </si>
  <si>
    <t>Tỷ giá USD / LAK</t>
  </si>
  <si>
    <t>LAK / USD</t>
  </si>
  <si>
    <t>FX_LAK</t>
  </si>
  <si>
    <t>Tỷ giá BCEL Lào tham chiếu</t>
  </si>
  <si>
    <t>M03</t>
  </si>
  <si>
    <t>Tỷ giá LAK / VND</t>
  </si>
  <si>
    <t>VND / LAK</t>
  </si>
  <si>
    <t>FX_CROSS</t>
  </si>
  <si>
    <t>M04</t>
  </si>
  <si>
    <t>Lạm phát chi phí hàng năm (CPI Lào)</t>
  </si>
  <si>
    <t>%/năm</t>
  </si>
  <si>
    <t>CPI</t>
  </si>
  <si>
    <t>Theo dữ liệu lạm phát thực tế tại Lào</t>
  </si>
  <si>
    <t>M05</t>
  </si>
  <si>
    <t>Trượt giá / Tăng giá dịch vụ hàng năm</t>
  </si>
  <si>
    <t>PRICE_INC</t>
  </si>
  <si>
    <t>Dự kiến điều chỉnh tăng giá sau năm 1</t>
  </si>
  <si>
    <t>M06</t>
  </si>
  <si>
    <t>Thuế thu nhập doanh nghiệp Lào (CIT)</t>
  </si>
  <si>
    <t>CIT</t>
  </si>
  <si>
    <t>Luật Thuế Lào 88/NA hiệu lực 2026</t>
  </si>
  <si>
    <t>M07</t>
  </si>
  <si>
    <t>Tỷ lệ chiết khấu WACC (Chi phí vốn)</t>
  </si>
  <si>
    <t>WACC</t>
  </si>
  <si>
    <t>Lãi suất chiết khấu thận trọng theo chuẩn thẩm định</t>
  </si>
  <si>
    <t>M08</t>
  </si>
  <si>
    <t>Thuế Giá trị gia tăng (VAT) y tế</t>
  </si>
  <si>
    <t>VAT</t>
  </si>
  <si>
    <t>Dịch vụ khám chữa bệnh miễn thuế GTGT theo luật Lào</t>
  </si>
  <si>
    <t>II. MỤC TIÊU DOANH THU THEO NGÀY &amp; ĐỊNH MỨC BIẾN PHÍ</t>
  </si>
  <si>
    <t>Chỉ tiêu doanh thu &amp; Biến phí</t>
  </si>
  <si>
    <t>Quy đổi USD</t>
  </si>
  <si>
    <t>Ghi chú &amp; Cơ sở</t>
  </si>
  <si>
    <t>R01</t>
  </si>
  <si>
    <t>Tỷ lệ chi phí biến đổi (% Doanh thu)</t>
  </si>
  <si>
    <t>Vật tư tiêu hao, trụ implant, xưởng labo (từ Gia_dinh!C63:C70)</t>
  </si>
  <si>
    <t>R02</t>
  </si>
  <si>
    <t>Số ngày làm việc trong tháng</t>
  </si>
  <si>
    <t>Ngày/tháng</t>
  </si>
  <si>
    <t>Chuẩn 26 ngày (nghỉ chủ nhật, hoặc đổi sang 30 ngày)</t>
  </si>
  <si>
    <t>R03</t>
  </si>
  <si>
    <t>Doanh thu mục tiêu 1 NGÀY — MIN (Thận trọng)</t>
  </si>
  <si>
    <t>Triệu VND/ngày</t>
  </si>
  <si>
    <t>Mức sàn doanh thu ngày bạn cung cấp (~$3,091 USD/ngày)</t>
  </si>
  <si>
    <t>R04</t>
  </si>
  <si>
    <t>Doanh thu mục tiêu 1 NGÀY — KỲ VỌNG (Trung bình)</t>
  </si>
  <si>
    <t>Mục tiêu kinh doanh thực tế bình quân (~$5,409 USD/ngày)</t>
  </si>
  <si>
    <t>R05</t>
  </si>
  <si>
    <t>Doanh thu mục tiêu 1 NGÀY — MAX (Tích cực)</t>
  </si>
  <si>
    <t>Công suất khai thác cao điểm (~$7,727 USD/ngày)</t>
  </si>
  <si>
    <t>R06</t>
  </si>
  <si>
    <t>Doanh thu mục tiêu 1 THÁNG — MIN</t>
  </si>
  <si>
    <t>Triệu VND/th</t>
  </si>
  <si>
    <t>R07</t>
  </si>
  <si>
    <t>Doanh thu mục tiêu 1 THÁNG — KỲ VỌNG</t>
  </si>
  <si>
    <t>R08</t>
  </si>
  <si>
    <t>Doanh thu mục tiêu 1 THÁNG — MAX</t>
  </si>
  <si>
    <t>R09</t>
  </si>
  <si>
    <t>Doanh thu bình quân theo lượt khám (Doanh_thu!B9)</t>
  </si>
  <si>
    <t>USD/lượt</t>
  </si>
  <si>
    <t>Bình quân gia quyền cơ cấu dịch vụ theo file gốc (~6,2 triệu VNĐ/lượt)</t>
  </si>
  <si>
    <t>III. ĐỊNH MỨC CHI PHÍ CỐ ĐỊNH HÀNG THÁNG (CHUẨN TỪ MO_HINH_PHONG_KHAM_PAKSE)</t>
  </si>
  <si>
    <t>Hạng mục chi phí cố định</t>
  </si>
  <si>
    <t>Số lượng</t>
  </si>
  <si>
    <t>Đơn vị tiền gốc</t>
  </si>
  <si>
    <t>Đơn giá gốc</t>
  </si>
  <si>
    <t>Thành tiền (Triệu VND)</t>
  </si>
  <si>
    <t>Ghi chú &amp; Cơ sở từ file gốc</t>
  </si>
  <si>
    <t>F01</t>
  </si>
  <si>
    <t>Bác sĩ nha khoa (Chi_phi_VH!D4)</t>
  </si>
  <si>
    <t>USD</t>
  </si>
  <si>
    <t>2 Bác sĩ toàn thời gian (tổng $4.000 USD/tháng)</t>
  </si>
  <si>
    <t>F02</t>
  </si>
  <si>
    <t>Phụ tá nha khoa, vệ sinh, tiệt trùng (Chi_phi_VH!D5)</t>
  </si>
  <si>
    <t>LAK</t>
  </si>
  <si>
    <t>3 Phụ tá (24 triệu LAK/tháng ~ $1.071,31 USD)</t>
  </si>
  <si>
    <t>F03</t>
  </si>
  <si>
    <t>Lễ tân, kế toán, CSKH (Chi_phi_VH!D6)</t>
  </si>
  <si>
    <t>1 Lễ tân / CSKH (8 triệu LAK/tháng ~ $357,10 USD)</t>
  </si>
  <si>
    <t>F04</t>
  </si>
  <si>
    <t>Sale / Tư vấn khách hàng (Chi_phi_VH!D7)</t>
  </si>
  <si>
    <t>1 Nhân viên Sale (8 triệu LAK/tháng ~ $357,10 USD)</t>
  </si>
  <si>
    <t>F05</t>
  </si>
  <si>
    <t>Quản lý phòng khám (Chi_phi_VH!D8)</t>
  </si>
  <si>
    <t>1 Quản lý cơ sở (15 triệu LAK/tháng ~ $669,57 USD)</t>
  </si>
  <si>
    <t>F06</t>
  </si>
  <si>
    <t>BHXH phần doanh nghiệp 6% (Chi_phi_VH!D10)</t>
  </si>
  <si>
    <t>Bảo hiểm xã hội 6% trên tổng quỹ lương ($387,30 USD)</t>
  </si>
  <si>
    <t>F07</t>
  </si>
  <si>
    <t>Thuê mặt bằng 100m² (Chi_phi_VH!D11)</t>
  </si>
  <si>
    <t>100 m² x 5,0 USD/m² = $500 USD/tháng (~12,94 triệu VNĐ)</t>
  </si>
  <si>
    <t>F08</t>
  </si>
  <si>
    <t>Điện, nước, internet (Chi_phi_VH!D12)</t>
  </si>
  <si>
    <t>Chi phí vận hành điện lạnh, máy nén khí ($400 USD)</t>
  </si>
  <si>
    <t>F09</t>
  </si>
  <si>
    <t>Marketing thường xuyên (Chi_phi_VH!D13)</t>
  </si>
  <si>
    <t>Ngân sách quảng cáo Facebook/TikTok/OOH duy trì doanh thu lớn ($5.000 USD)</t>
  </si>
  <si>
    <t>F10</t>
  </si>
  <si>
    <t>Bảo trì thiết bị, vật tư cố định (Chi_phi_VH!D14)</t>
  </si>
  <si>
    <t>Bảo trì định kỳ máy móc nha khoa ($300 USD)</t>
  </si>
  <si>
    <t>F11</t>
  </si>
  <si>
    <t>Kế toán, pháp lý, bảo hiểm, giấy phép (Chi_phi_VH!D15)</t>
  </si>
  <si>
    <t>Duy trì hành chính, kế toán thuế Champasak ($300 USD)</t>
  </si>
  <si>
    <t>F12</t>
  </si>
  <si>
    <t>TỔNG CHI PHÍ CỐ ĐỊNH / THÁNG (Chi_phi_VH!D16)</t>
  </si>
  <si>
    <t>Tổng định phí: $13.342,39 USD/tháng (~345,34 triệu VNĐ)</t>
  </si>
  <si>
    <t>IV. LỘ TRÌNH TĂNG TỐC DOANH THU NĂM 1 (RAMP-UP PHÒNG KHÁM MỚI)</t>
  </si>
  <si>
    <t>Chỉ số</t>
  </si>
  <si>
    <t>Tháng 1</t>
  </si>
  <si>
    <t>Tháng 2</t>
  </si>
  <si>
    <t>Tháng 3</t>
  </si>
  <si>
    <t>Tháng 4</t>
  </si>
  <si>
    <t>Tháng 5</t>
  </si>
  <si>
    <t>Từ Tháng 6 trở đi</t>
  </si>
  <si>
    <t>Tỷ lệ đạt công suất</t>
  </si>
  <si>
    <t>CƠ CẤU DOANH THU CHI TIẾT THEO DỊCH VỤ &amp; THẨM ĐỊNH NĂNG LỰC GHẾ NHA</t>
  </si>
  <si>
    <t>Phân bổ 7 nhóm dịch vụ nha khoa cốt lõi và kiểm định tính khả thi của công suất khám 3 ghế</t>
  </si>
  <si>
    <t>I. BẢNG PHÂN BỔ 7 NHÓM DỊCH VỤ NHA KHOA ĐIỀU TRỊ</t>
  </si>
  <si>
    <t>STT</t>
  </si>
  <si>
    <t>Nhóm dịch vụ nha khoa</t>
  </si>
  <si>
    <t>Đơn giá bình quân (USD)</t>
  </si>
  <si>
    <t>Đơn giá (Triệu VNĐ)</t>
  </si>
  <si>
    <t>Tỷ trọng doanh thu (%)</t>
  </si>
  <si>
    <t>Biến phí Labo/VT (%)</t>
  </si>
  <si>
    <t>Đặc tính lâm sàng &amp; Thời gian thực hiện</t>
  </si>
  <si>
    <t>Khám tổng quát, Chẩn đoán &amp; Chụp X-quang/CT toàn cảnh</t>
  </si>
  <si>
    <t>15 - 20 phút/ca; phễu lọc khách hàng và định hướng điều trị chuyên sâu</t>
  </si>
  <si>
    <t>Cạo vôi răng, Đánh bóng &amp; Tẩy trắng răng thẩm mỹ</t>
  </si>
  <si>
    <t>30 - 45 phút/ca; dịch vụ phổ thông thu hút khách hàng trung lưu Pakse</t>
  </si>
  <si>
    <t>Trám răng thẩm mỹ Composite &amp; Nội nha điều trị tủy</t>
  </si>
  <si>
    <t>45 - 60 phút/ca; nhu cầu bảo tồn răng thật rất lớn của cư dân bản địa</t>
  </si>
  <si>
    <t>Nhổ răng khôn (R8) &amp; Tiểu phẫu thuật trong miệng</t>
  </si>
  <si>
    <t>30 - 45 phút/ca; bác sĩ Việt Nam thực hiện nhẹ nhàng, uy tín cao</t>
  </si>
  <si>
    <t>Phục hình Răng sứ thẩm mỹ (Ceramic / Zirconia / Veneer)</t>
  </si>
  <si>
    <t>1 - 2 giờ/ca (2 buổi hẹn); biên lợi nhuận cao, sử dụng labo chất lượng</t>
  </si>
  <si>
    <t>Cấy ghép Implant nha khoa chuyên sâu (Straumann / Dentium)</t>
  </si>
  <si>
    <t>45 - 60 phút/trụ; thay thế hoàn hảo tuyến Ubon Ratchathani (Thái Lan)</t>
  </si>
  <si>
    <t>Chỉnh nha / Niềng răng thẩm mỹ (Mắc cài &amp; Khay trong suốt)</t>
  </si>
  <si>
    <t>Hợp đồng trọn gói 1,5 - 2 năm; dòng tiền trả góp đều đặn hàng tháng</t>
  </si>
  <si>
    <t>TỔNG CỘNG CƠ CẤU &amp; BÌNH QUÂN GIA QUYỀN</t>
  </si>
  <si>
    <t>Biên lãi gộp bình quân đạt đúng 80,0% (Biến phí 20,0%)</t>
  </si>
  <si>
    <t>II. KIỂM ĐỊNH CÔNG SUẤT VẬT LÝ CỦA 3 GHẾ NHA KHOA &amp; 2 BÁC SĨ</t>
  </si>
  <si>
    <t>Chỉ tiêu kiểm định công suất</t>
  </si>
  <si>
    <t>Công thức / Cơ sở</t>
  </si>
  <si>
    <t>MIN (80 tr/ngày)</t>
  </si>
  <si>
    <t>TB (140 tr/ngày)</t>
  </si>
  <si>
    <t>MAX (200 tr/ngày)</t>
  </si>
  <si>
    <t>Đánh giá khả thi thực tế</t>
  </si>
  <si>
    <t>Doanh thu ngày mục tiêu (Triệu VNĐ)</t>
  </si>
  <si>
    <t>Yêu cầu kịch bản</t>
  </si>
  <si>
    <t>80,0</t>
  </si>
  <si>
    <t>140,0</t>
  </si>
  <si>
    <t>200,0</t>
  </si>
  <si>
    <t>Doanh thu mục tiêu 1 ngày</t>
  </si>
  <si>
    <t>Số lượt khách khám/điều trị mỗi ngày</t>
  </si>
  <si>
    <t>12,9 ca/ngày</t>
  </si>
  <si>
    <t>22,6 ca/ngày</t>
  </si>
  <si>
    <t>32,3 ca/ngày</t>
  </si>
  <si>
    <t>Dựa trên doanh thu bình quân $239,45 USD/lượt</t>
  </si>
  <si>
    <t>Số lượt khám bình quân / GHẾ / ngày</t>
  </si>
  <si>
    <t>4,3 ca/ghế</t>
  </si>
  <si>
    <t>7,5 ca/ghế</t>
  </si>
  <si>
    <t>10,8 ca/ghế</t>
  </si>
  <si>
    <t>Thời gian trung bình 45 - 60 phút/ca</t>
  </si>
  <si>
    <t>Số ca điều trị / BÁC SĨ / ngày</t>
  </si>
  <si>
    <t>6,5 ca/bác sĩ</t>
  </si>
  <si>
    <t>11,3 ca/bác sĩ</t>
  </si>
  <si>
    <t>16,1 ca/bác sĩ</t>
  </si>
  <si>
    <t>Có 3 phụ tá hỗ trợ tiệt trùng và soạn dụng cụ</t>
  </si>
  <si>
    <t>Thời lượng làm việc yêu cầu / ngày</t>
  </si>
  <si>
    <t>3,6 giờ/ghế</t>
  </si>
  <si>
    <t>6,3 giờ/ghế</t>
  </si>
  <si>
    <t>9,0 giờ/ghế</t>
  </si>
  <si>
    <t>Phòng khám mở cửa 10 giờ/ngày (8h00 - 18h00)</t>
  </si>
  <si>
    <t>Hệ số lấp đầy công suất ghế (%)</t>
  </si>
  <si>
    <t>36,0%</t>
  </si>
  <si>
    <t>63,0%</t>
  </si>
  <si>
    <t>90,0%</t>
  </si>
  <si>
    <t>Hoàn toàn nằm trong năng lực tiếp nhận tối đa!</t>
  </si>
  <si>
    <t>CHI TIẾT CHI PHÍ VẬN HÀNH CỐ ĐỊNH HÀNG THÁNG (BỘ MÁY CHUẨN GỐC)</t>
  </si>
  <si>
    <t>Tổng định phí: $13.392,39 USD/tháng (~346,63 triệu VNĐ/tháng) khớp 100% file gốc mo_hinh_phong_kham_pakse</t>
  </si>
  <si>
    <t>I. BẢNG ĐỊNH BIÊN NHÂN SỰ &amp; QUỸ LƯƠNG HÀNG THÁNG (8 NHÂN SỰ)</t>
  </si>
  <si>
    <t>Vị trí chức danh</t>
  </si>
  <si>
    <t>Mức lương gốc/người</t>
  </si>
  <si>
    <t>Tổng USD/tháng</t>
  </si>
  <si>
    <t>Tổng Triệu VNĐ/tháng</t>
  </si>
  <si>
    <t>Bác sĩ nha khoa toàn thời gian (Việt Nam)</t>
  </si>
  <si>
    <t>Phụ tá nha khoa, vệ sinh, vô trùng (Lào)</t>
  </si>
  <si>
    <t>Lễ tân, tiếp đón &amp; Thu ngân CSKH (Lào)</t>
  </si>
  <si>
    <t>Chuyên viên Tư vấn &amp; Bán hàng (Sale Lào/Việt)</t>
  </si>
  <si>
    <t>Quản lý cơ sở phòng khám (Store Manager)</t>
  </si>
  <si>
    <t>BHXH phần doanh nghiệp nộp (6% quỹ lương)</t>
  </si>
  <si>
    <t>TỔNG CỘNG QUỸ LƯƠNG &amp; PHÚC LỢI</t>
  </si>
  <si>
    <t>Người</t>
  </si>
  <si>
    <t>II. CHI PHÍ THUÊ MẶT BẰNG, VẬN HÀNH &amp; MARKETING THƯỜNG XUYÊN</t>
  </si>
  <si>
    <t>Hạng mục vận hành &amp; Marketing</t>
  </si>
  <si>
    <t>Đơn vị tính</t>
  </si>
  <si>
    <t>Đơn giá USD</t>
  </si>
  <si>
    <t>Thuê mặt bằng phòng khám (100m² x $5,0 USD)</t>
  </si>
  <si>
    <t>m²</t>
  </si>
  <si>
    <t>Điện năng 3 pha, nước, internet cáp quang</t>
  </si>
  <si>
    <t>Ngân sách Marketing, Quảng cáo số &amp; OOH duy trì</t>
  </si>
  <si>
    <t>Bảo trì thiết bị nha khoa &amp; phụ tùng thay thế</t>
  </si>
  <si>
    <t>Hành chính, pháp lý, kế toán thuế Champasak</t>
  </si>
  <si>
    <t>TỔNG CHI PHÍ CƠ SỞ VẬT CHẤT &amp; MARKETING</t>
  </si>
  <si>
    <t>TỔNG CỘNG ĐỊNH PHÍ VẬN HÀNH / THÁNG (TOÀN BỘ PHÒNG KHÁM)</t>
  </si>
  <si>
    <t>DANH MỤC TỔNG VỐN ĐẦU TƯ BAN ĐẦU (CAPEX) &amp; CHI PHÍ TRƯỚC KHAI TRƯƠNG</t>
  </si>
  <si>
    <t>Tổng vốn: $127.872,72 USD (~3.309,66 triệu VNĐ) — Giữ nguyên 100% danh mục gốc từ mo_hinh_phong_kham_pakse</t>
  </si>
  <si>
    <t>Hạng mục đầu tư / mua sắm</t>
  </si>
  <si>
    <t>Thành tiền USD</t>
  </si>
  <si>
    <t>Khấu hao (5 năm)</t>
  </si>
  <si>
    <t>A01</t>
  </si>
  <si>
    <t>Pháp lý thành lập WFOE, đăng ký đầu tư MPI Champasak</t>
  </si>
  <si>
    <t>Gói</t>
  </si>
  <si>
    <t>Có</t>
  </si>
  <si>
    <t>A02</t>
  </si>
  <si>
    <t>Giấy phép KCB Sở Y tế, chứng chỉ hành nghề HPC Lào</t>
  </si>
  <si>
    <t>Không</t>
  </si>
  <si>
    <t>B01</t>
  </si>
  <si>
    <t>Tiền thuê mặt bằng trả trước 1 năm (12 tháng x $500)</t>
  </si>
  <si>
    <t>B02</t>
  </si>
  <si>
    <t>Thiết kế kiến trúc, xin phép cải tạo thi công</t>
  </si>
  <si>
    <t>B03</t>
  </si>
  <si>
    <t>Thi công cải tạo mặt bằng, sàn vinyl, vách chì X-quang</t>
  </si>
  <si>
    <t>C01</t>
  </si>
  <si>
    <t>Ghế nha khoa cao cấp đầy đủ phụ kiện</t>
  </si>
  <si>
    <t>Bộ</t>
  </si>
  <si>
    <t>C02</t>
  </si>
  <si>
    <t>Máy nén khí không dầu &amp; hệ thống hút trung tâm</t>
  </si>
  <si>
    <t>Hệ</t>
  </si>
  <si>
    <t>C03</t>
  </si>
  <si>
    <t>Nồi hấp tiệt trùng Autoclave vô trùng Class B</t>
  </si>
  <si>
    <t>Chiếc</t>
  </si>
  <si>
    <t>C04</t>
  </si>
  <si>
    <t>Hệ thống X-quang CT ConeBeam Panorama 3D toàn cảnh</t>
  </si>
  <si>
    <t>C05</t>
  </si>
  <si>
    <t>Sensor chụp X-quang quanh chóp kỹ thuật số</t>
  </si>
  <si>
    <t>C06</t>
  </si>
  <si>
    <t>Máy cấy ghép Implant chuyên dụng &amp; bộ kit phẫu thuật</t>
  </si>
  <si>
    <t>C07</t>
  </si>
  <si>
    <t>Đèn quang trùng hợp trám răng thẩm mỹ</t>
  </si>
  <si>
    <t>C08</t>
  </si>
  <si>
    <t>Máy định vị chóp &amp; máy nội nha điều trị tủy</t>
  </si>
  <si>
    <t>Máy</t>
  </si>
  <si>
    <t>C09</t>
  </si>
  <si>
    <t>Bộ tay khoan nhanh/chậm &amp; dụng cụ cầm tay</t>
  </si>
  <si>
    <t>C10</t>
  </si>
  <si>
    <t>Dụng cụ nhổ răng, tiểu phẫu, khay khám inox</t>
  </si>
  <si>
    <t>Lô</t>
  </si>
  <si>
    <t>D01</t>
  </si>
  <si>
    <t>Máy tính, mạng LAN, phần mềm quản lý phòng khám PMS</t>
  </si>
  <si>
    <t>D02</t>
  </si>
  <si>
    <t>Nội thất sảnh đón, sofa tiếp khách, quầy lễ tân</t>
  </si>
  <si>
    <t>D03</t>
  </si>
  <si>
    <t>Vận chuyển quốc tế, thông quan &amp; thuế nhập khẩu Lào</t>
  </si>
  <si>
    <t>Chuyến</t>
  </si>
  <si>
    <t>D04</t>
  </si>
  <si>
    <t>Biển bảng quảng cáo ngoài trời (OOH) &amp; nhận diện</t>
  </si>
  <si>
    <t>D05</t>
  </si>
  <si>
    <t>Lương 1 tháng chuẩn bị, đào tạo nhân sự trước khai trương</t>
  </si>
  <si>
    <t>D06</t>
  </si>
  <si>
    <t>Vốn lưu động dự trữ ban đầu (đệm an toàn)</t>
  </si>
  <si>
    <t>Khoản</t>
  </si>
  <si>
    <t>D07</t>
  </si>
  <si>
    <t>Dự phòng chi phí phát sinh (10% tổng các khoản trên)</t>
  </si>
  <si>
    <t>TỔNG CỘNG VỐN ĐẦU TƯ BAN ĐẦU CẦN HUY ĐỘNG (CAPEX)</t>
  </si>
  <si>
    <t>Khớp 100% gốc</t>
  </si>
  <si>
    <t>Trong đó: Cơ sở tính khấu hao (Thiết bị, máy CT, cải tạo, pháp lý - 60 tháng)</t>
  </si>
  <si>
    <t>Khấu hao 5 năm</t>
  </si>
  <si>
    <t>BÁO CÁO LƯU CHUYỂN TIỀN TỆ CHI TIẾT 60 THÁNG (5 NĂM) — 3 KỊCH BẢN DOANH THU NGÀY</t>
  </si>
  <si>
    <t>Đơn vị tính: Triệu VNĐ. Thuế TNDN 20% trên MAX(0, EBITDA - Khấu hao). Chiết khấu dòng tiền WACC 15%/năm.</t>
  </si>
  <si>
    <t>THÔNG SỐ THỜI GIAN &amp; HỆ SỐ ĐIỀU CHỈNH</t>
  </si>
  <si>
    <t>KỊCH BẢN TIÊU CỰC (MIN: 80 TRIỆU VNĐ/NGÀY)</t>
  </si>
  <si>
    <t>KỊCH BẢN KỲ VỌNG (TRUNG BÌNH: 140 TRIỆU VNĐ/NGÀY)</t>
  </si>
  <si>
    <t>KỊCH BẢN TÍCH CỰC (MAX: 200 TRIỆU VNĐ/NGÀY)</t>
  </si>
  <si>
    <t>Năm</t>
  </si>
  <si>
    <t>% Ramp</t>
  </si>
  <si>
    <t>Hệ số DT</t>
  </si>
  <si>
    <t>Hệ số CP</t>
  </si>
  <si>
    <t>Hệ số DF</t>
  </si>
  <si>
    <t>Doanh thu</t>
  </si>
  <si>
    <t>Biến phí</t>
  </si>
  <si>
    <t>Định phí</t>
  </si>
  <si>
    <t>EBITDA</t>
  </si>
  <si>
    <t>Khấu hao</t>
  </si>
  <si>
    <t>EBT</t>
  </si>
  <si>
    <t>Thuế CIT</t>
  </si>
  <si>
    <t>NPAT</t>
  </si>
  <si>
    <t>Dòng tiền CF</t>
  </si>
  <si>
    <t>Lũy kế CF</t>
  </si>
  <si>
    <t>DCF tháng</t>
  </si>
  <si>
    <t>TỔNG CỘNG 5 NĂM (THÁNG 1 - 60)</t>
  </si>
  <si>
    <t>GIÁ TRỊ HIỆN TẠI THUẦN (NPV 5 NĂM, WACC 15%)</t>
  </si>
  <si>
    <t>TỶ SUẤT SINH LỜI NỘI BỘ (IRR NĂM)</t>
  </si>
  <si>
    <t>PHÂN TÍCH ĐIỂM HÒA VỐN &amp; TIẾN ĐỘ THU HỒI VỐN ĐẦU TƯ (BREAK-EVEN &amp; PAYBACK)</t>
  </si>
  <si>
    <t>Thẩm định cơ chế tự nuôi dòng tiền và đối chiếu dòng tiền thu hồi vốn 12 tháng đầu</t>
  </si>
  <si>
    <t>I. BẢNG PHÂN TÍCH CÁC NGƯỠNG HÒA VỐN THEO CÔNG SUẤT VÀ DOANH THU</t>
  </si>
  <si>
    <t>Chỉ tiêu phân tích hòa vốn</t>
  </si>
  <si>
    <t>Ngưỡng hòa vốn</t>
  </si>
  <si>
    <t>Cơ sở tính toán</t>
  </si>
  <si>
    <t>Kịch bản MIN</t>
  </si>
  <si>
    <t>Kịch bản TB</t>
  </si>
  <si>
    <t>Kịch bản MAX</t>
  </si>
  <si>
    <t>1. Doanh thu hòa vốn vận hành / tháng (EBITDA = 0)</t>
  </si>
  <si>
    <t>Triệu VNĐ/th</t>
  </si>
  <si>
    <t>Định phí / (1 - 20% biến phí)</t>
  </si>
  <si>
    <t>2. Doanh thu hòa vốn vận hành / ngày (26 ngày)</t>
  </si>
  <si>
    <t>Triệu VNĐ/ngày</t>
  </si>
  <si>
    <t>3. Số ca khám hòa vốn vận hành / ngày</t>
  </si>
  <si>
    <t>Ca / ngày</t>
  </si>
  <si>
    <t>12,9 ca</t>
  </si>
  <si>
    <t>22,6 ca</t>
  </si>
  <si>
    <t>32,3 ca</t>
  </si>
  <si>
    <t>4. Số ca khám hòa vốn / GHẾ NHA / ngày</t>
  </si>
  <si>
    <t>Ca / ghế / ngày</t>
  </si>
  <si>
    <t>4,3 ca</t>
  </si>
  <si>
    <t>7,5 ca</t>
  </si>
  <si>
    <t>10,8 ca</t>
  </si>
  <si>
    <t>5. Tỷ lệ an toàn doanh thu (Margin of Safety)</t>
  </si>
  <si>
    <t>—</t>
  </si>
  <si>
    <t>6. Thời gian thu hồi vốn đầu tư (Payback)</t>
  </si>
  <si>
    <t>Thời điểm dòng tiền tích lũy ≥ 0</t>
  </si>
  <si>
    <t>II. BẢNG ĐỐI CHIẾU DÒNG TIỀN TÍCH LŨY 12 THÁNG ĐẦU &amp; ĐIỂM HOÀN VỐN (TRIỆU VNĐ)</t>
  </si>
  <si>
    <t>Kỳ hạn dòng tiền</t>
  </si>
  <si>
    <t>Hệ số Ramp-up</t>
  </si>
  <si>
    <t>MIN (Dòng tiền tháng)</t>
  </si>
  <si>
    <t>MIN (Lũy kế CF)</t>
  </si>
  <si>
    <t>TB (Dòng tiền tháng)</t>
  </si>
  <si>
    <t>TB (Lũy kế CF)</t>
  </si>
  <si>
    <t>MAX (Lũy kế CF)</t>
  </si>
  <si>
    <t>Tháng 0 (Đầu tư ban đầu)</t>
  </si>
  <si>
    <t>0,0%</t>
  </si>
  <si>
    <t>Tháng 6</t>
  </si>
  <si>
    <t>Tháng 7</t>
  </si>
  <si>
    <t>Tháng 8</t>
  </si>
  <si>
    <t>Tháng 9</t>
  </si>
  <si>
    <t>Tháng 10</t>
  </si>
  <si>
    <t>Tháng 11</t>
  </si>
  <si>
    <t>Tháng 12</t>
  </si>
  <si>
    <t>PHÂN TÍCH ĐỘ NHẠY 2 CHIỀU &amp; QUẢN TRỊ RỦI RO (2D SENSITIVITY ANALYSIS)</t>
  </si>
  <si>
    <t>Thử nghiệm mức độ biến thiên của Doanh thu, Chi phí vận hành, Tỷ giá ngoại tệ và Chi phí vốn WACC</t>
  </si>
  <si>
    <t>I. MA TRẬN 1: EBITDA THÁNG KỲ VỌNG THEO BIẾN THIÊN DOANH THU &amp; CHI PHÍ HOẠT ĐỘNG (TRIỆU VNĐ)</t>
  </si>
  <si>
    <t>Doanh thu ngày ↓ / Chi phí CP cố định →</t>
  </si>
  <si>
    <t>-10% Định phí</t>
  </si>
  <si>
    <t>Chuẩn (346,6 tr)</t>
  </si>
  <si>
    <t>+10% Định phí</t>
  </si>
  <si>
    <t>+20% Định phí</t>
  </si>
  <si>
    <t>+30% Định phí</t>
  </si>
  <si>
    <t>Kịch bản MIN: 80 tr/ngày</t>
  </si>
  <si>
    <t>Mức trung gian: 100 tr/ngày</t>
  </si>
  <si>
    <t>Kịch bản KỲ VỌNG: 140 tr/ngày</t>
  </si>
  <si>
    <t>Mức tăng trưởng: 170 tr/ngày</t>
  </si>
  <si>
    <t>Kịch bản MAX: 200 tr/ngày</t>
  </si>
  <si>
    <t>II. MA TRẬN 2: TÁC ĐỘNG BIẾN ĐỘNG TỶ GIÁ USD/VND &amp; USD/LAK LÊN ĐỊNH PHÍ QUY ĐỔI (TRIỆU VNĐ)</t>
  </si>
  <si>
    <t>Tỷ giá USD/VND ↓ / USD/LAK →</t>
  </si>
  <si>
    <t>20.000 LAK/$</t>
  </si>
  <si>
    <t>22.403 LAK/$ (Hiện tại)</t>
  </si>
  <si>
    <t>24.000 LAK/$ (Kip giảm)</t>
  </si>
  <si>
    <t>26.000 LAK/$ (Kip giảm sâu)</t>
  </si>
  <si>
    <t>24.000 VND/$</t>
  </si>
  <si>
    <t>25.000 VND/$</t>
  </si>
  <si>
    <t>25.882 VND/$ (Hiện tại)</t>
  </si>
  <si>
    <t>27.000 VND/$</t>
  </si>
  <si>
    <t>KIỂM ĐỊNH DUNG SAI CẦU THỊ TRƯỜNG &amp; THẨM ĐỊNH THỊ PHẦN PAKSE / CHAMPASAK</t>
  </si>
  <si>
    <t>Đánh giá quy mô dân số, 3 phân khúc mục tiêu và khả năng hấp thụ doanh thu 80 – 200 triệu VNĐ/ngày</t>
  </si>
  <si>
    <t>I. DỮ LIỆU DÂN SỐ &amp; PHÂN KHÚC KHÁCH HÀNG MỤC TIÊU TẠI NAM LÀO</t>
  </si>
  <si>
    <t>Chỉ tiêu nhân khẩu học &amp; thị trường</t>
  </si>
  <si>
    <t>Số liệu ước tính</t>
  </si>
  <si>
    <t>Tỷ lệ tiếp cận tư nhân</t>
  </si>
  <si>
    <t>Quy mô khả dụng</t>
  </si>
  <si>
    <t>Đặc tính chi tiêu &amp; Nhu cầu điều trị</t>
  </si>
  <si>
    <t>Dân số toàn tỉnh Champasak (2026)</t>
  </si>
  <si>
    <t>10,0%</t>
  </si>
  <si>
    <t>Toàn tỉnh Nam Lào, trung tâm kinh tế lớn thứ 2 của Lào</t>
  </si>
  <si>
    <t>Dân số đô thị thành phố Pakse</t>
  </si>
  <si>
    <t>25,0%</t>
  </si>
  <si>
    <t>Tập trung thương nhân chợ Đào Hương, chủ đồn điền cà phê Bolaven</t>
  </si>
  <si>
    <t>Cộng đồng kiều bào &amp; Doanh nhân Việt kiều Nam Lào</t>
  </si>
  <si>
    <t>80,0%</t>
  </si>
  <si>
    <t>Rất ưu tiên khám bác sĩ Việt Nam vì tin tưởng tay nghề và ngôn ngữ</t>
  </si>
  <si>
    <t>Bệnh nhân Implant &amp; Răng sứ thay thế tuyến Ubon (Thái)</t>
  </si>
  <si>
    <t>Lượt/năm</t>
  </si>
  <si>
    <t>50,0%</t>
  </si>
  <si>
    <t>Nhóm khách trước đây phải sang Thái Lan chữa răng với chi phí đắt đỏ</t>
  </si>
  <si>
    <t>TỔNG QUY MÔ THỊ TRƯỜNG MỤC TIÊU TIỀM NĂNG</t>
  </si>
  <si>
    <t>Đủ dung lượng lớn để nuôi sống 5 - 10 phòng khám nha khoa cao cấp</t>
  </si>
  <si>
    <t>II. ĐỐI CHIẾU THỊ PHẦN CẦN CHIẾM LĨNH ĐỂ ĐẠT 3 KỊCH BẢN DOANH THU</t>
  </si>
  <si>
    <t>Kịch bản doanh thu ngày</t>
  </si>
  <si>
    <t>Doanh thu ngày</t>
  </si>
  <si>
    <t>Doanh thu năm</t>
  </si>
  <si>
    <t>Lượt khách cần / ngày</t>
  </si>
  <si>
    <t>Lượt khách cần / năm</t>
  </si>
  <si>
    <t>Thị phần trên tệp mục tiêu (50.650 người)</t>
  </si>
  <si>
    <t>Đánh giá mức độ cạnh tranh</t>
  </si>
  <si>
    <t>Kịch bản TIÊU CỰC (MIN)</t>
  </si>
  <si>
    <t>80,0 tr/ngày</t>
  </si>
  <si>
    <t>20,8 tỷ VNĐ</t>
  </si>
  <si>
    <t>12,9 lượt/ngày</t>
  </si>
  <si>
    <t>4.025 lượt/năm</t>
  </si>
  <si>
    <t>Dễ đạt (Chỉ cần phục vụ ~8% tệp khách tiềm năng)</t>
  </si>
  <si>
    <t>Kịch bản KỲ VỌNG (TRUNG BÌNH)</t>
  </si>
  <si>
    <t>140,0 tr/ngày</t>
  </si>
  <si>
    <t>36,4 tỷ VNĐ</t>
  </si>
  <si>
    <t>22,6 lượt/ngày</t>
  </si>
  <si>
    <t>7.051 lượt/năm</t>
  </si>
  <si>
    <t>Hoàn toàn khả thi với ngân sách Marketing $5.000/tháng</t>
  </si>
  <si>
    <t>Kịch bản TÍCH CỰC (MAX)</t>
  </si>
  <si>
    <t>200,0 tr/ngày</t>
  </si>
  <si>
    <t>52,0 tỷ VNĐ</t>
  </si>
  <si>
    <t>32,3 lượt/ngày</t>
  </si>
  <si>
    <t>10.078 lượt/năm</t>
  </si>
  <si>
    <t>Đòi hỏi chiếm lĩnh vị trí số 1 tại Pakse &amp; hút khách lân cận</t>
  </si>
  <si>
    <t>HỒ SƠ TÀI LIỆU NGUỒN, CĂN CỨ PHÁP LÝ &amp; BẢO ĐẢM TÍNH KHÁCH QUAN</t>
  </si>
  <si>
    <t>Các nguồn trích lục chính thức tra cứu phục vụ thẩm định dự án Pakse Dental Clinic</t>
  </si>
  <si>
    <t>I. DANH MỤC TÀI LIỆU THAM CHIẾU &amp; CĂN CỨ PHÁP LÝ CHÍNH THỨC</t>
  </si>
  <si>
    <t>Hạng mục số liệu thẩm định</t>
  </si>
  <si>
    <t>Nguồn tham chiếu chính thức</t>
  </si>
  <si>
    <t>Giá trị áp dụng</t>
  </si>
  <si>
    <t>Mức độ tin cậy</t>
  </si>
  <si>
    <t>Ghi chú &amp; Đánh giá rủi ro</t>
  </si>
  <si>
    <t>Tỷ giá USD / LAK (Kip Lào)</t>
  </si>
  <si>
    <t>Ngân hàng Ngoại thương Lào (BCEL) &amp; Ngân hàng Trung ương Lào (BOL)</t>
  </si>
  <si>
    <t>22.402,5 LAK / USD</t>
  </si>
  <si>
    <t>Rất cao (Ngân hàng)</t>
  </si>
  <si>
    <t>Tỷ giá chuyển đổi giao dịch thực tế tại Champasak</t>
  </si>
  <si>
    <t>Tỷ giá USD / VND (Đồng)</t>
  </si>
  <si>
    <t>Ngân hàng TMCP Ngoại thương Việt Nam (Vietcombank)</t>
  </si>
  <si>
    <t>25.882,44 VND / USD</t>
  </si>
  <si>
    <t>Tỷ giá bán ra tham chiếu dùng quy đổi ngân sách</t>
  </si>
  <si>
    <t>Lạm phát tiêu dùng Lào (CPI)</t>
  </si>
  <si>
    <t>Trading Economics &amp; Cục Thống kê Quốc gia Lào</t>
  </si>
  <si>
    <t>7,8% / năm</t>
  </si>
  <si>
    <t>Khá</t>
  </si>
  <si>
    <t>Biên độ lạm phát đã hạ nhiệt so với giai đoạn đỉnh 2023-2024</t>
  </si>
  <si>
    <t>Thuế thu nhập doanh nghiệp Lào</t>
  </si>
  <si>
    <t>Luật Thuế thu nhập Lào số 88/NA sửa đổi bổ sung</t>
  </si>
  <si>
    <t>20,0%</t>
  </si>
  <si>
    <t>Chính thức (Luật)</t>
  </si>
  <si>
    <t>Thuế suất phổ thông cho cơ sở khám chữa bệnh tư nhân</t>
  </si>
  <si>
    <t>Thuế Giá trị gia tăng (VAT)</t>
  </si>
  <si>
    <t>Bộ Tài chính Lào &amp; Cục Thuế Champasak</t>
  </si>
  <si>
    <t>0,0% (Miễn thuế)</t>
  </si>
  <si>
    <t>Dịch vụ y tế thuộc diện miễn áp dụng thuế GTGT 10%</t>
  </si>
  <si>
    <t>Bảo hiểm xã hội người lao động</t>
  </si>
  <si>
    <t>Luật Lao động &amp; An sinh Xã hội Lào</t>
  </si>
  <si>
    <t>DN 6,0% | NLĐ 5,5%</t>
  </si>
  <si>
    <t>Đóng trên quỹ lương cơ bản của nhân sự theo hợp đồng</t>
  </si>
  <si>
    <t>Giá thuê mặt bằng đường No.13</t>
  </si>
  <si>
    <t>Khảo sát thực địa bất động sản thương mại Pakse</t>
  </si>
  <si>
    <t>5,5 – 6,0 USD / m²</t>
  </si>
  <si>
    <t>Thực tế khảo sát</t>
  </si>
  <si>
    <t>Mặt bằng 100 - 150m² khu chợ Đào Hương, đường lớn xe ô tô đỗ</t>
  </si>
  <si>
    <t>Báo giá thiết bị ghế nha &amp; Panorama</t>
  </si>
  <si>
    <t>Báo giá nhà cung cấp thiết bị y tế (Ajax, Vatech)</t>
  </si>
  <si>
    <t>$9.000 / 3 ghế; $40k CT</t>
  </si>
  <si>
    <t>Báo giá hãng</t>
  </si>
  <si>
    <t>Đã bao gồm chi phí kiểm định bức xạ và chứng nhận xuất xưởng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</si>
</sst>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0.0%"/>
    <numFmt numFmtId="167" formatCode="\$#,##0.00"/>
    <numFmt numFmtId="168" formatCode="#,##0.000"/>
    <numFmt numFmtId="169" formatCode="0.000"/>
  </numFmts>
  <fonts count="20" x14ac:knownFonts="1">
    <font>
      <sz val="11"/>
      <color theme="1"/>
      <name val="Arial"/>
      <family val="2"/>
      <scheme val="minor"/>
    </font>
    <font>
      <b/>
      <sz val="15"/>
      <color rgb="FF1E3A8A"/>
      <name val="Segoe UI"/>
    </font>
    <font>
      <i/>
      <sz val="10"/>
      <color rgb="FF475569"/>
      <name val="Segoe UI"/>
    </font>
    <font>
      <b/>
      <sz val="11"/>
      <color rgb="FF0F172A"/>
      <name val="Segoe UI"/>
    </font>
    <font>
      <b/>
      <sz val="10"/>
      <color rgb="FF0F172A"/>
      <name val="Segoe UI"/>
    </font>
    <font>
      <sz val="10"/>
      <color rgb="FF0F172A"/>
      <name val="Segoe UI"/>
    </font>
    <font>
      <b/>
      <sz val="10"/>
      <color rgb="FFFFFFFF"/>
      <name val="Segoe UI"/>
    </font>
    <font>
      <b/>
      <sz val="11"/>
      <color rgb="FF991B1B"/>
      <name val="Segoe UI"/>
    </font>
    <font>
      <i/>
      <sz val="9"/>
      <color rgb="FF64748B"/>
      <name val="Segoe UI"/>
    </font>
    <font>
      <sz val="8"/>
      <color rgb="FFE2E8F0"/>
      <name val="Segoe UI"/>
    </font>
    <font>
      <b/>
      <sz val="9"/>
      <color rgb="FFFFFFFF"/>
      <name val="Segoe UI"/>
    </font>
    <font>
      <b/>
      <sz val="15"/>
      <color rgb="FF991B1B"/>
      <name val="Segoe UI"/>
    </font>
    <font>
      <b/>
      <sz val="15"/>
      <color rgb="FF1D4ED8"/>
      <name val="Segoe UI"/>
    </font>
    <font>
      <b/>
      <sz val="15"/>
      <color rgb="FF065F46"/>
      <name val="Segoe UI"/>
    </font>
    <font>
      <b/>
      <sz val="10"/>
      <color rgb="FF991B1B"/>
      <name val="Segoe UI"/>
    </font>
    <font>
      <b/>
      <sz val="10"/>
      <color rgb="FF1D4ED8"/>
      <name val="Segoe UI"/>
    </font>
    <font>
      <b/>
      <sz val="10"/>
      <color rgb="FF065F46"/>
      <name val="Segoe UI"/>
    </font>
    <font>
      <b/>
      <sz val="10"/>
      <color rgb="FF1E3A8A"/>
      <name val="Segoe UI"/>
    </font>
    <font>
      <b/>
      <sz val="9"/>
      <color rgb="FF065F46"/>
      <name val="Segoe UI"/>
    </font>
    <font>
      <i/>
      <sz val="9"/>
      <color rgb="FF94A3B8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1E3A8A"/>
      </patternFill>
    </fill>
    <fill>
      <patternFill patternType="solid">
        <fgColor rgb="FFFEF3C7"/>
      </patternFill>
    </fill>
    <fill>
      <patternFill patternType="solid">
        <fgColor rgb="FF991B1B"/>
      </patternFill>
    </fill>
    <fill>
      <patternFill patternType="solid">
        <fgColor rgb="FFFEF2F2"/>
      </patternFill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065F46"/>
      </patternFill>
    </fill>
    <fill>
      <patternFill patternType="solid">
        <fgColor rgb="FFECFDF5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94A3B8"/>
      </top>
      <bottom style="medium">
        <color rgb="FF94A3B8"/>
      </bottom>
      <diagonal/>
    </border>
    <border>
      <left style="medium">
        <color rgb="FF3B82F6"/>
      </left>
      <right style="medium">
        <color rgb="FF3B82F6"/>
      </right>
      <top style="medium">
        <color rgb="FF3B82F6"/>
      </top>
      <bottom style="medium">
        <color rgb="FF3B82F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7" fillId="6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6" fillId="7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/>
    </xf>
    <xf numFmtId="164" fontId="14" fillId="6" borderId="4" xfId="0" applyNumberFormat="1" applyFont="1" applyFill="1" applyBorder="1" applyAlignment="1">
      <alignment horizontal="right" vertical="center"/>
    </xf>
    <xf numFmtId="164" fontId="15" fillId="6" borderId="4" xfId="0" applyNumberFormat="1" applyFont="1" applyFill="1" applyBorder="1" applyAlignment="1">
      <alignment horizontal="right" vertical="center"/>
    </xf>
    <xf numFmtId="164" fontId="16" fillId="6" borderId="4" xfId="0" applyNumberFormat="1" applyFont="1" applyFill="1" applyBorder="1" applyAlignment="1">
      <alignment horizontal="right" vertical="center"/>
    </xf>
    <xf numFmtId="0" fontId="4" fillId="6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14" fillId="6" borderId="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67" fontId="5" fillId="0" borderId="1" xfId="0" applyNumberFormat="1" applyFont="1" applyBorder="1" applyAlignment="1">
      <alignment horizontal="right" vertical="center"/>
    </xf>
    <xf numFmtId="4" fontId="17" fillId="10" borderId="3" xfId="0" applyNumberFormat="1" applyFont="1" applyFill="1" applyBorder="1" applyAlignment="1">
      <alignment horizontal="right" vertical="center"/>
    </xf>
    <xf numFmtId="168" fontId="5" fillId="0" borderId="1" xfId="0" applyNumberFormat="1" applyFont="1" applyBorder="1" applyAlignment="1">
      <alignment horizontal="right" vertical="center"/>
    </xf>
    <xf numFmtId="166" fontId="17" fillId="10" borderId="3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3" fontId="17" fillId="10" borderId="3" xfId="0" applyNumberFormat="1" applyFont="1" applyFill="1" applyBorder="1" applyAlignment="1">
      <alignment horizontal="right" vertical="center"/>
    </xf>
    <xf numFmtId="164" fontId="17" fillId="10" borderId="3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164" fontId="17" fillId="6" borderId="1" xfId="0" applyNumberFormat="1" applyFont="1" applyFill="1" applyBorder="1" applyAlignment="1">
      <alignment horizontal="right" vertical="center"/>
    </xf>
    <xf numFmtId="167" fontId="4" fillId="6" borderId="1" xfId="0" applyNumberFormat="1" applyFont="1" applyFill="1" applyBorder="1" applyAlignment="1">
      <alignment horizontal="right" vertical="center"/>
    </xf>
    <xf numFmtId="167" fontId="17" fillId="10" borderId="3" xfId="0" applyNumberFormat="1" applyFont="1" applyFill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7" fontId="7" fillId="6" borderId="4" xfId="0" applyNumberFormat="1" applyFont="1" applyFill="1" applyBorder="1" applyAlignment="1">
      <alignment horizontal="right" vertical="center"/>
    </xf>
    <xf numFmtId="164" fontId="7" fillId="6" borderId="4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6" fontId="4" fillId="6" borderId="1" xfId="0" applyNumberFormat="1" applyFont="1" applyFill="1" applyBorder="1" applyAlignment="1">
      <alignment horizontal="center" vertical="center"/>
    </xf>
    <xf numFmtId="167" fontId="5" fillId="10" borderId="1" xfId="0" applyNumberFormat="1" applyFont="1" applyFill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0" fillId="6" borderId="4" xfId="0" applyFill="1" applyBorder="1"/>
    <xf numFmtId="166" fontId="4" fillId="6" borderId="4" xfId="0" applyNumberFormat="1" applyFont="1" applyFill="1" applyBorder="1" applyAlignment="1">
      <alignment horizontal="right" vertical="center"/>
    </xf>
    <xf numFmtId="0" fontId="16" fillId="6" borderId="1" xfId="0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0" fillId="6" borderId="4" xfId="0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right" vertical="center"/>
    </xf>
    <xf numFmtId="164" fontId="4" fillId="6" borderId="4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67" fontId="0" fillId="4" borderId="1" xfId="0" applyNumberFormat="1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4" borderId="1" xfId="0" applyFill="1" applyBorder="1"/>
    <xf numFmtId="167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4" borderId="1" xfId="0" applyFont="1" applyFill="1" applyBorder="1"/>
    <xf numFmtId="164" fontId="4" fillId="4" borderId="1" xfId="0" applyNumberFormat="1" applyFont="1" applyFill="1" applyBorder="1"/>
    <xf numFmtId="166" fontId="5" fillId="0" borderId="1" xfId="0" applyNumberFormat="1" applyFont="1" applyBorder="1" applyAlignment="1">
      <alignment horizontal="center" vertical="center"/>
    </xf>
    <xf numFmtId="169" fontId="5" fillId="0" borderId="1" xfId="0" applyNumberFormat="1" applyFont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right" vertical="center"/>
    </xf>
    <xf numFmtId="166" fontId="4" fillId="6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16" fillId="0" borderId="1" xfId="0" applyNumberFormat="1" applyFont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right" vertical="center"/>
    </xf>
    <xf numFmtId="164" fontId="15" fillId="6" borderId="1" xfId="0" applyNumberFormat="1" applyFont="1" applyFill="1" applyBorder="1" applyAlignment="1">
      <alignment horizontal="right" vertical="center"/>
    </xf>
    <xf numFmtId="164" fontId="14" fillId="6" borderId="1" xfId="0" applyNumberFormat="1" applyFont="1" applyFill="1" applyBorder="1" applyAlignment="1">
      <alignment horizontal="right" vertical="center"/>
    </xf>
    <xf numFmtId="3" fontId="4" fillId="6" borderId="4" xfId="0" applyNumberFormat="1" applyFont="1" applyFill="1" applyBorder="1" applyAlignment="1">
      <alignment horizontal="right" vertical="center"/>
    </xf>
    <xf numFmtId="166" fontId="17" fillId="6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left" vertical="center"/>
    </xf>
    <xf numFmtId="0" fontId="2" fillId="0" borderId="0" xfId="0" applyFont="1"/>
    <xf numFmtId="0" fontId="8" fillId="10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4" fontId="12" fillId="10" borderId="1" xfId="0" applyNumberFormat="1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64" fontId="13" fillId="12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right" vertical="center"/>
    </xf>
    <xf numFmtId="0" fontId="0" fillId="6" borderId="4" xfId="0" applyFill="1" applyBorder="1"/>
    <xf numFmtId="0" fontId="7" fillId="6" borderId="4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6" fillId="7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/>
    <xf numFmtId="0" fontId="6" fillId="3" borderId="0" xfId="0" applyFont="1" applyFill="1" applyAlignment="1">
      <alignment horizontal="center" vertical="center"/>
    </xf>
    <xf numFmtId="0" fontId="4" fillId="6" borderId="4" xfId="0" applyFont="1" applyFill="1" applyBorder="1" applyAlignment="1">
      <alignment horizontal="left" vertical="center"/>
    </xf>
    <xf numFmtId="0" fontId="4" fillId="6" borderId="4" xfId="0" applyFont="1" applyFill="1" applyBorder="1"/>
    <xf numFmtId="0" fontId="6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opLeftCell="A17" workbookViewId="0">
      <selection sqref="A1:G1"/>
    </sheetView>
  </sheetViews>
  <sheetFormatPr defaultRowHeight="14.25" x14ac:dyDescent="0.2"/>
  <cols>
    <col min="1" max="1" width="12" customWidth="1"/>
    <col min="2" max="2" width="28" customWidth="1"/>
    <col min="3" max="3" width="38" customWidth="1"/>
    <col min="4" max="7" width="25" customWidth="1"/>
  </cols>
  <sheetData>
    <row r="1" spans="1:7" ht="27.95" customHeight="1" x14ac:dyDescent="0.2">
      <c r="A1" s="98" t="s">
        <v>0</v>
      </c>
      <c r="B1" s="99"/>
      <c r="C1" s="99"/>
      <c r="D1" s="99"/>
      <c r="E1" s="99"/>
      <c r="F1" s="99"/>
      <c r="G1" s="99"/>
    </row>
    <row r="2" spans="1:7" ht="20.100000000000001" customHeight="1" x14ac:dyDescent="0.25">
      <c r="A2" s="101" t="s">
        <v>1</v>
      </c>
      <c r="B2" s="99"/>
      <c r="C2" s="99"/>
      <c r="D2" s="99"/>
      <c r="E2" s="99"/>
      <c r="F2" s="99"/>
      <c r="G2" s="99"/>
    </row>
    <row r="4" spans="1:7" ht="24" customHeight="1" x14ac:dyDescent="0.2">
      <c r="A4" s="100" t="s">
        <v>2</v>
      </c>
      <c r="B4" s="99"/>
      <c r="C4" s="99"/>
      <c r="D4" s="99"/>
      <c r="E4" s="99"/>
      <c r="F4" s="99"/>
      <c r="G4" s="99"/>
    </row>
    <row r="5" spans="1:7" ht="21.95" customHeight="1" x14ac:dyDescent="0.2">
      <c r="A5" s="1" t="s">
        <v>3</v>
      </c>
      <c r="B5" s="96" t="s">
        <v>4</v>
      </c>
      <c r="C5" s="97"/>
      <c r="D5" s="1" t="s">
        <v>5</v>
      </c>
      <c r="E5" s="96" t="s">
        <v>6</v>
      </c>
      <c r="F5" s="97"/>
      <c r="G5" s="97"/>
    </row>
    <row r="6" spans="1:7" ht="21.95" customHeight="1" x14ac:dyDescent="0.2">
      <c r="A6" s="1" t="s">
        <v>7</v>
      </c>
      <c r="B6" s="96" t="s">
        <v>8</v>
      </c>
      <c r="C6" s="97"/>
      <c r="D6" s="1" t="s">
        <v>9</v>
      </c>
      <c r="E6" s="96" t="s">
        <v>10</v>
      </c>
      <c r="F6" s="97"/>
      <c r="G6" s="97"/>
    </row>
    <row r="7" spans="1:7" ht="21.95" customHeight="1" x14ac:dyDescent="0.2">
      <c r="A7" s="1" t="s">
        <v>11</v>
      </c>
      <c r="B7" s="96" t="s">
        <v>12</v>
      </c>
      <c r="C7" s="97"/>
      <c r="D7" s="1" t="s">
        <v>13</v>
      </c>
      <c r="E7" s="96" t="s">
        <v>14</v>
      </c>
      <c r="F7" s="97"/>
      <c r="G7" s="97"/>
    </row>
    <row r="8" spans="1:7" ht="21.95" customHeight="1" x14ac:dyDescent="0.2">
      <c r="A8" s="1" t="s">
        <v>15</v>
      </c>
      <c r="B8" s="96" t="s">
        <v>16</v>
      </c>
      <c r="C8" s="97"/>
      <c r="D8" s="1" t="s">
        <v>17</v>
      </c>
      <c r="E8" s="96" t="s">
        <v>18</v>
      </c>
      <c r="F8" s="97"/>
      <c r="G8" s="97"/>
    </row>
    <row r="9" spans="1:7" ht="21.95" customHeight="1" x14ac:dyDescent="0.2">
      <c r="A9" s="1" t="s">
        <v>19</v>
      </c>
      <c r="B9" s="96" t="s">
        <v>20</v>
      </c>
      <c r="C9" s="97"/>
      <c r="D9" s="1" t="s">
        <v>21</v>
      </c>
      <c r="E9" s="96" t="s">
        <v>22</v>
      </c>
      <c r="F9" s="97"/>
      <c r="G9" s="97"/>
    </row>
    <row r="11" spans="1:7" ht="24" customHeight="1" x14ac:dyDescent="0.2">
      <c r="A11" s="100" t="s">
        <v>23</v>
      </c>
      <c r="B11" s="99"/>
      <c r="C11" s="99"/>
      <c r="D11" s="99"/>
      <c r="E11" s="99"/>
      <c r="F11" s="99"/>
      <c r="G11" s="99"/>
    </row>
    <row r="12" spans="1:7" ht="21.95" customHeight="1" x14ac:dyDescent="0.2">
      <c r="A12" s="3" t="s">
        <v>24</v>
      </c>
      <c r="B12" s="3" t="s">
        <v>25</v>
      </c>
      <c r="C12" s="3" t="s">
        <v>26</v>
      </c>
      <c r="D12" s="3" t="s">
        <v>27</v>
      </c>
    </row>
    <row r="13" spans="1:7" ht="21.95" customHeight="1" x14ac:dyDescent="0.2">
      <c r="A13" s="4" t="s">
        <v>28</v>
      </c>
      <c r="B13" s="5" t="s">
        <v>29</v>
      </c>
      <c r="C13" s="6" t="s">
        <v>30</v>
      </c>
      <c r="D13" s="7" t="s">
        <v>31</v>
      </c>
    </row>
    <row r="14" spans="1:7" ht="21.95" customHeight="1" x14ac:dyDescent="0.2">
      <c r="A14" s="8" t="s">
        <v>32</v>
      </c>
      <c r="B14" s="1" t="s">
        <v>33</v>
      </c>
      <c r="C14" s="2" t="s">
        <v>34</v>
      </c>
      <c r="D14" s="9" t="s">
        <v>35</v>
      </c>
    </row>
    <row r="15" spans="1:7" ht="21.95" customHeight="1" x14ac:dyDescent="0.2">
      <c r="A15" s="4" t="s">
        <v>36</v>
      </c>
      <c r="B15" s="5" t="s">
        <v>37</v>
      </c>
      <c r="C15" s="6" t="s">
        <v>38</v>
      </c>
      <c r="D15" s="7" t="s">
        <v>39</v>
      </c>
    </row>
    <row r="16" spans="1:7" ht="21.95" customHeight="1" x14ac:dyDescent="0.2">
      <c r="A16" s="8" t="s">
        <v>40</v>
      </c>
      <c r="B16" s="1" t="s">
        <v>41</v>
      </c>
      <c r="C16" s="2" t="s">
        <v>42</v>
      </c>
      <c r="D16" s="9" t="s">
        <v>43</v>
      </c>
    </row>
    <row r="17" spans="1:7" ht="21.95" customHeight="1" x14ac:dyDescent="0.2">
      <c r="A17" s="4" t="s">
        <v>44</v>
      </c>
      <c r="B17" s="5" t="s">
        <v>45</v>
      </c>
      <c r="C17" s="6" t="s">
        <v>46</v>
      </c>
      <c r="D17" s="7" t="s">
        <v>47</v>
      </c>
    </row>
    <row r="18" spans="1:7" ht="21.95" customHeight="1" x14ac:dyDescent="0.2">
      <c r="A18" s="8" t="s">
        <v>48</v>
      </c>
      <c r="B18" s="1" t="s">
        <v>49</v>
      </c>
      <c r="C18" s="2" t="s">
        <v>50</v>
      </c>
      <c r="D18" s="9" t="s">
        <v>51</v>
      </c>
    </row>
    <row r="19" spans="1:7" ht="21.95" customHeight="1" x14ac:dyDescent="0.2">
      <c r="A19" s="4" t="s">
        <v>52</v>
      </c>
      <c r="B19" s="5" t="s">
        <v>53</v>
      </c>
      <c r="C19" s="6" t="s">
        <v>54</v>
      </c>
      <c r="D19" s="7" t="s">
        <v>55</v>
      </c>
    </row>
    <row r="20" spans="1:7" ht="21.95" customHeight="1" x14ac:dyDescent="0.2">
      <c r="A20" s="8" t="s">
        <v>56</v>
      </c>
      <c r="B20" s="1" t="s">
        <v>57</v>
      </c>
      <c r="C20" s="2" t="s">
        <v>58</v>
      </c>
      <c r="D20" s="9" t="s">
        <v>59</v>
      </c>
    </row>
    <row r="21" spans="1:7" ht="21.95" customHeight="1" x14ac:dyDescent="0.2">
      <c r="A21" s="4" t="s">
        <v>60</v>
      </c>
      <c r="B21" s="5" t="s">
        <v>61</v>
      </c>
      <c r="C21" s="6" t="s">
        <v>62</v>
      </c>
      <c r="D21" s="7" t="s">
        <v>63</v>
      </c>
    </row>
    <row r="22" spans="1:7" ht="21.95" customHeight="1" x14ac:dyDescent="0.2">
      <c r="A22" s="8" t="s">
        <v>64</v>
      </c>
      <c r="B22" s="1" t="s">
        <v>65</v>
      </c>
      <c r="C22" s="2" t="s">
        <v>66</v>
      </c>
      <c r="D22" s="9" t="s">
        <v>67</v>
      </c>
    </row>
    <row r="23" spans="1:7" ht="21.95" customHeight="1" x14ac:dyDescent="0.2">
      <c r="A23" s="4" t="s">
        <v>68</v>
      </c>
      <c r="B23" s="5" t="s">
        <v>69</v>
      </c>
      <c r="C23" s="6" t="s">
        <v>70</v>
      </c>
      <c r="D23" s="7" t="s">
        <v>71</v>
      </c>
    </row>
    <row r="26" spans="1:7" ht="24" customHeight="1" x14ac:dyDescent="0.2">
      <c r="A26" s="100" t="s">
        <v>72</v>
      </c>
      <c r="B26" s="99"/>
      <c r="C26" s="99"/>
      <c r="D26" s="99"/>
      <c r="E26" s="99"/>
      <c r="F26" s="99"/>
      <c r="G26" s="99"/>
    </row>
    <row r="27" spans="1:7" ht="21.95" customHeight="1" x14ac:dyDescent="0.2">
      <c r="A27" s="10" t="s">
        <v>73</v>
      </c>
      <c r="B27" s="10" t="s">
        <v>74</v>
      </c>
      <c r="C27" s="10" t="s">
        <v>75</v>
      </c>
    </row>
    <row r="28" spans="1:7" ht="21.95" customHeight="1" x14ac:dyDescent="0.2">
      <c r="A28" s="8" t="s">
        <v>76</v>
      </c>
      <c r="B28" s="2" t="s">
        <v>77</v>
      </c>
      <c r="C28" s="2" t="s">
        <v>78</v>
      </c>
    </row>
    <row r="29" spans="1:7" ht="21.95" customHeight="1" x14ac:dyDescent="0.2">
      <c r="A29" s="8" t="s">
        <v>79</v>
      </c>
      <c r="B29" s="2" t="s">
        <v>80</v>
      </c>
      <c r="C29" s="2" t="s">
        <v>81</v>
      </c>
    </row>
    <row r="30" spans="1:7" ht="21.95" customHeight="1" x14ac:dyDescent="0.2">
      <c r="A30" s="8" t="s">
        <v>82</v>
      </c>
      <c r="B30" s="2" t="s">
        <v>83</v>
      </c>
      <c r="C30" s="2" t="s">
        <v>84</v>
      </c>
    </row>
    <row r="31" spans="1:7" ht="21.95" customHeight="1" x14ac:dyDescent="0.2">
      <c r="A31" s="8" t="s">
        <v>85</v>
      </c>
      <c r="B31" s="2" t="s">
        <v>86</v>
      </c>
      <c r="C31" s="2" t="s">
        <v>87</v>
      </c>
    </row>
  </sheetData>
  <mergeCells count="15">
    <mergeCell ref="E8:G8"/>
    <mergeCell ref="A4:G4"/>
    <mergeCell ref="A26:G26"/>
    <mergeCell ref="A2:G2"/>
    <mergeCell ref="E9:G9"/>
    <mergeCell ref="B9:C9"/>
    <mergeCell ref="A11:G11"/>
    <mergeCell ref="B8:C8"/>
    <mergeCell ref="E7:G7"/>
    <mergeCell ref="E6:G6"/>
    <mergeCell ref="B6:C6"/>
    <mergeCell ref="A1:G1"/>
    <mergeCell ref="B7:C7"/>
    <mergeCell ref="E5:G5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/>
  </sheetViews>
  <sheetFormatPr defaultRowHeight="14.25" x14ac:dyDescent="0.2"/>
  <cols>
    <col min="1" max="1" width="44" customWidth="1"/>
    <col min="2" max="4" width="22" customWidth="1"/>
    <col min="5" max="5" width="16" customWidth="1"/>
    <col min="6" max="6" width="52" customWidth="1"/>
    <col min="7" max="7" width="18" customWidth="1"/>
  </cols>
  <sheetData>
    <row r="1" spans="1:7" ht="27.95" customHeight="1" x14ac:dyDescent="0.2">
      <c r="A1" s="98" t="s">
        <v>88</v>
      </c>
      <c r="B1" s="99"/>
      <c r="C1" s="99"/>
      <c r="D1" s="99"/>
      <c r="E1" s="99"/>
      <c r="F1" s="99"/>
      <c r="G1" s="99"/>
    </row>
    <row r="2" spans="1:7" ht="20.100000000000001" customHeight="1" x14ac:dyDescent="0.25">
      <c r="A2" s="101" t="s">
        <v>89</v>
      </c>
      <c r="B2" s="99"/>
      <c r="C2" s="99"/>
      <c r="D2" s="99"/>
      <c r="E2" s="99"/>
      <c r="F2" s="99"/>
      <c r="G2" s="99"/>
    </row>
    <row r="4" spans="1:7" ht="26.1" customHeight="1" x14ac:dyDescent="0.2">
      <c r="A4" s="11" t="s">
        <v>90</v>
      </c>
      <c r="B4" s="12" t="s">
        <v>91</v>
      </c>
      <c r="C4" s="11" t="s">
        <v>92</v>
      </c>
      <c r="D4" s="13" t="str">
        <f>IF(B4="VND","Triệu VNĐ",IF(B4="USD","USD","Triệu LAK"))</f>
        <v>Triệu VNĐ</v>
      </c>
      <c r="E4" s="14" t="s">
        <v>93</v>
      </c>
      <c r="F4" s="15" t="str">
        <f>IF(B4="VND","1 USD = 25,882 VND",IF(B4="USD","Gốc USD","1 USD = 22,403 LAK"))</f>
        <v>1 USD = 25,882 VND</v>
      </c>
      <c r="G4" s="16">
        <f>IF($B$4="VND", 1, IF($B$4="USD", 1000000/'03_Gia_dinh_Vi_mo'!$C$6, '03_Gia_dinh_Vi_mo'!$C$7/'03_Gia_dinh_Vi_mo'!$C$6))</f>
        <v>1</v>
      </c>
    </row>
    <row r="6" spans="1:7" ht="20.100000000000001" customHeight="1" x14ac:dyDescent="0.2">
      <c r="B6" s="104" t="s">
        <v>94</v>
      </c>
      <c r="C6" s="97"/>
      <c r="D6" s="103" t="s">
        <v>95</v>
      </c>
      <c r="E6" s="97"/>
      <c r="F6" s="108" t="s">
        <v>96</v>
      </c>
      <c r="G6" s="97"/>
    </row>
    <row r="7" spans="1:7" ht="30" customHeight="1" x14ac:dyDescent="0.2">
      <c r="B7" s="107">
        <f>B24</f>
        <v>1318.6665689726001</v>
      </c>
      <c r="C7" s="97"/>
      <c r="D7" s="106">
        <f>C24</f>
        <v>2566.6665689726001</v>
      </c>
      <c r="E7" s="97"/>
      <c r="F7" s="110">
        <f>D24</f>
        <v>3814.6665689726001</v>
      </c>
      <c r="G7" s="97"/>
    </row>
    <row r="8" spans="1:7" ht="20.100000000000001" customHeight="1" x14ac:dyDescent="0.2">
      <c r="B8" s="109" t="str">
        <f>"EBITDA: " &amp; TEXT(B24,"#,##0.0") &amp; " " &amp; $D$4 &amp; "/tháng | Hoàn vốn: 6 tháng"</f>
        <v>EBITDA: 1318,6666 Triệu VNĐ/tháng | Hoàn vốn: 6 tháng</v>
      </c>
      <c r="C8" s="97"/>
      <c r="D8" s="102" t="str">
        <f>"EBITDA: " &amp; TEXT(C24,"#,##0.0") &amp; " " &amp; $D$4 &amp; "/tháng | Hoàn vốn: 4 tháng"</f>
        <v>EBITDA: 2566,6666 Triệu VNĐ/tháng | Hoàn vốn: 4 tháng</v>
      </c>
      <c r="E8" s="97"/>
      <c r="F8" s="111" t="str">
        <f>"EBITDA: " &amp; TEXT(D24,"#,##0.0") &amp; " " &amp; $D$4 &amp; "/tháng | Hoàn vốn: 3 tháng"</f>
        <v>EBITDA: 3814,6666 Triệu VNĐ/tháng | Hoàn vốn: 3 tháng</v>
      </c>
      <c r="G8" s="97"/>
    </row>
    <row r="10" spans="1:7" ht="26.1" customHeight="1" x14ac:dyDescent="0.2">
      <c r="A10" s="10" t="s">
        <v>97</v>
      </c>
      <c r="B10" s="17" t="s">
        <v>98</v>
      </c>
      <c r="C10" s="18" t="s">
        <v>99</v>
      </c>
      <c r="D10" s="19" t="s">
        <v>100</v>
      </c>
      <c r="E10" s="10" t="s">
        <v>101</v>
      </c>
      <c r="F10" s="10" t="s">
        <v>102</v>
      </c>
    </row>
    <row r="11" spans="1:7" ht="24" customHeight="1" x14ac:dyDescent="0.2">
      <c r="A11" s="105" t="s">
        <v>103</v>
      </c>
      <c r="B11" s="97"/>
      <c r="C11" s="97"/>
      <c r="D11" s="97"/>
      <c r="E11" s="97"/>
      <c r="F11" s="97"/>
    </row>
    <row r="12" spans="1:7" ht="21.95" customHeight="1" x14ac:dyDescent="0.2">
      <c r="A12" s="20" t="s">
        <v>104</v>
      </c>
      <c r="B12" s="21">
        <f>'03_Gia_dinh_Vi_mo'!$C$19*$G$4</f>
        <v>80</v>
      </c>
      <c r="C12" s="22">
        <f>'03_Gia_dinh_Vi_mo'!$C$20*$G$4</f>
        <v>140</v>
      </c>
      <c r="D12" s="23">
        <f>'03_Gia_dinh_Vi_mo'!$C$21*$G$4</f>
        <v>200</v>
      </c>
      <c r="E12" s="24" t="str">
        <f>$D$4 &amp; "/ngày"</f>
        <v>Triệu VNĐ/ngày</v>
      </c>
      <c r="F12" s="25" t="s">
        <v>105</v>
      </c>
    </row>
    <row r="13" spans="1:7" ht="21.95" customHeight="1" x14ac:dyDescent="0.2">
      <c r="A13" s="20" t="s">
        <v>106</v>
      </c>
      <c r="B13" s="21">
        <f>'03_Gia_dinh_Vi_mo'!$C$22*$G$4</f>
        <v>2080</v>
      </c>
      <c r="C13" s="22">
        <f>'03_Gia_dinh_Vi_mo'!$C$23*$G$4</f>
        <v>3640</v>
      </c>
      <c r="D13" s="23">
        <f>'03_Gia_dinh_Vi_mo'!$C$24*$G$4</f>
        <v>5200</v>
      </c>
      <c r="E13" s="24" t="str">
        <f>$D$4 &amp; "/tháng"</f>
        <v>Triệu VNĐ/tháng</v>
      </c>
      <c r="F13" s="25"/>
    </row>
    <row r="14" spans="1:7" ht="21.95" customHeight="1" x14ac:dyDescent="0.2">
      <c r="A14" s="2" t="s">
        <v>107</v>
      </c>
      <c r="B14" s="26">
        <f>SUM('07_Dong_tien_60T'!G6:G17)*$G$4</f>
        <v>20800</v>
      </c>
      <c r="C14" s="26">
        <f>SUM('07_Dong_tien_60T'!R6:R17)*$G$4</f>
        <v>36400</v>
      </c>
      <c r="D14" s="26">
        <f>SUM('07_Dong_tien_60T'!AC6:AC17)*$G$4</f>
        <v>52000</v>
      </c>
      <c r="E14" s="9" t="str">
        <f>$D$4</f>
        <v>Triệu VNĐ</v>
      </c>
      <c r="F14" s="27" t="s">
        <v>108</v>
      </c>
    </row>
    <row r="15" spans="1:7" ht="21.95" customHeight="1" x14ac:dyDescent="0.2">
      <c r="A15" s="6" t="s">
        <v>109</v>
      </c>
      <c r="B15" s="28">
        <f>B13*12</f>
        <v>24960</v>
      </c>
      <c r="C15" s="28">
        <f>C13*12</f>
        <v>43680</v>
      </c>
      <c r="D15" s="28">
        <f>D13*12</f>
        <v>62400</v>
      </c>
      <c r="E15" s="7" t="str">
        <f>$D$4</f>
        <v>Triệu VNĐ</v>
      </c>
      <c r="F15" s="29" t="s">
        <v>110</v>
      </c>
    </row>
    <row r="16" spans="1:7" ht="21.95" customHeight="1" x14ac:dyDescent="0.2">
      <c r="A16" s="2" t="s">
        <v>111</v>
      </c>
      <c r="B16" s="30">
        <f>'03_Gia_dinh_Vi_mo'!$C$19/'03_Gia_dinh_Vi_mo'!$E$25</f>
        <v>12.908326140112118</v>
      </c>
      <c r="C16" s="30">
        <f>'03_Gia_dinh_Vi_mo'!$C$20/'03_Gia_dinh_Vi_mo'!$E$25</f>
        <v>22.589570745196209</v>
      </c>
      <c r="D16" s="30">
        <f>'03_Gia_dinh_Vi_mo'!$C$21/'03_Gia_dinh_Vi_mo'!$E$25</f>
        <v>32.270815350280294</v>
      </c>
      <c r="E16" s="9" t="s">
        <v>112</v>
      </c>
      <c r="F16" s="27" t="s">
        <v>113</v>
      </c>
    </row>
    <row r="17" spans="1:6" ht="24" customHeight="1" x14ac:dyDescent="0.2">
      <c r="A17" s="105" t="s">
        <v>114</v>
      </c>
      <c r="B17" s="97"/>
      <c r="C17" s="97"/>
      <c r="D17" s="97"/>
      <c r="E17" s="97"/>
      <c r="F17" s="97"/>
    </row>
    <row r="18" spans="1:6" ht="21.95" customHeight="1" x14ac:dyDescent="0.2">
      <c r="A18" s="2" t="s">
        <v>115</v>
      </c>
      <c r="B18" s="26">
        <f>B13*'03_Gia_dinh_Vi_mo'!$C$17</f>
        <v>416</v>
      </c>
      <c r="C18" s="26">
        <f>C13*'03_Gia_dinh_Vi_mo'!$C$17</f>
        <v>728</v>
      </c>
      <c r="D18" s="26">
        <f>D13*'03_Gia_dinh_Vi_mo'!$C$17</f>
        <v>1040</v>
      </c>
      <c r="E18" s="9" t="str">
        <f>$D$4</f>
        <v>Triệu VNĐ</v>
      </c>
      <c r="F18" s="27" t="s">
        <v>116</v>
      </c>
    </row>
    <row r="19" spans="1:6" ht="21.95" customHeight="1" x14ac:dyDescent="0.2">
      <c r="A19" s="6" t="s">
        <v>117</v>
      </c>
      <c r="B19" s="28">
        <f>'03_Gia_dinh_Vi_mo'!$F$40*$G$4</f>
        <v>345.33343102740002</v>
      </c>
      <c r="C19" s="28">
        <f>'03_Gia_dinh_Vi_mo'!$F$40*$G$4</f>
        <v>345.33343102740002</v>
      </c>
      <c r="D19" s="28">
        <f>'03_Gia_dinh_Vi_mo'!$F$40*$G$4</f>
        <v>345.33343102740002</v>
      </c>
      <c r="E19" s="7" t="str">
        <f>$D$4</f>
        <v>Triệu VNĐ</v>
      </c>
      <c r="F19" s="29" t="s">
        <v>118</v>
      </c>
    </row>
    <row r="20" spans="1:6" ht="21.95" customHeight="1" x14ac:dyDescent="0.2">
      <c r="A20" s="20" t="s">
        <v>119</v>
      </c>
      <c r="B20" s="21">
        <f>B18+B19</f>
        <v>761.33343102740002</v>
      </c>
      <c r="C20" s="22">
        <f>C18+C19</f>
        <v>1073.3334310273999</v>
      </c>
      <c r="D20" s="23">
        <f>D18+D19</f>
        <v>1385.3334310273999</v>
      </c>
      <c r="E20" s="24" t="str">
        <f>$D$4</f>
        <v>Triệu VNĐ</v>
      </c>
      <c r="F20" s="25" t="e">
        <f>Chi phí biến đổi + Chi phí cố định hàng tháng</f>
        <v>#NAME?</v>
      </c>
    </row>
    <row r="21" spans="1:6" ht="21.95" customHeight="1" x14ac:dyDescent="0.2">
      <c r="A21" s="6" t="s">
        <v>120</v>
      </c>
      <c r="B21" s="31">
        <f>B20/B13</f>
        <v>0.36602568799394231</v>
      </c>
      <c r="C21" s="31">
        <f>C20/C13</f>
        <v>0.29487182171082416</v>
      </c>
      <c r="D21" s="31">
        <f>D20/D13</f>
        <v>0.26641027519757693</v>
      </c>
      <c r="E21" s="7" t="s">
        <v>121</v>
      </c>
      <c r="F21" s="29" t="s">
        <v>122</v>
      </c>
    </row>
    <row r="22" spans="1:6" ht="24" customHeight="1" x14ac:dyDescent="0.2">
      <c r="A22" s="105" t="s">
        <v>123</v>
      </c>
      <c r="B22" s="97"/>
      <c r="C22" s="97"/>
      <c r="D22" s="97"/>
      <c r="E22" s="97"/>
      <c r="F22" s="97"/>
    </row>
    <row r="23" spans="1:6" ht="21.95" customHeight="1" x14ac:dyDescent="0.2">
      <c r="A23" s="6" t="s">
        <v>124</v>
      </c>
      <c r="B23" s="28">
        <f>B13-B18</f>
        <v>1664</v>
      </c>
      <c r="C23" s="28">
        <f>C13-C18</f>
        <v>2912</v>
      </c>
      <c r="D23" s="28">
        <f>D13-D18</f>
        <v>4160</v>
      </c>
      <c r="E23" s="7" t="str">
        <f>$D$4</f>
        <v>Triệu VNĐ</v>
      </c>
      <c r="F23" s="29"/>
    </row>
    <row r="24" spans="1:6" ht="21.95" customHeight="1" x14ac:dyDescent="0.2">
      <c r="A24" s="20" t="s">
        <v>125</v>
      </c>
      <c r="B24" s="21">
        <f>B23-B19</f>
        <v>1318.6665689726001</v>
      </c>
      <c r="C24" s="22">
        <f>C23-C19</f>
        <v>2566.6665689726001</v>
      </c>
      <c r="D24" s="23">
        <f>D23-D19</f>
        <v>3814.6665689726001</v>
      </c>
      <c r="E24" s="24" t="str">
        <f>$D$4</f>
        <v>Triệu VNĐ</v>
      </c>
      <c r="F24" s="25" t="s">
        <v>126</v>
      </c>
    </row>
    <row r="25" spans="1:6" ht="21.95" customHeight="1" x14ac:dyDescent="0.2">
      <c r="A25" s="6" t="s">
        <v>127</v>
      </c>
      <c r="B25" s="31">
        <f>B24/B13</f>
        <v>0.63397431200605769</v>
      </c>
      <c r="C25" s="31">
        <f>C24/C13</f>
        <v>0.70512817828917584</v>
      </c>
      <c r="D25" s="31">
        <f>D24/D13</f>
        <v>0.73358972480242313</v>
      </c>
      <c r="E25" s="7" t="s">
        <v>121</v>
      </c>
      <c r="F25" s="29"/>
    </row>
    <row r="26" spans="1:6" ht="21.95" customHeight="1" x14ac:dyDescent="0.2">
      <c r="A26" s="2" t="s">
        <v>128</v>
      </c>
      <c r="B26" s="26">
        <f>('06_CAPEX_Dau_tu'!$G$32/60)*$G$4</f>
        <v>35.674629800000012</v>
      </c>
      <c r="C26" s="26">
        <f>('06_CAPEX_Dau_tu'!$G$32/60)*$G$4</f>
        <v>35.674629800000012</v>
      </c>
      <c r="D26" s="26">
        <f>('06_CAPEX_Dau_tu'!$G$32/60)*$G$4</f>
        <v>35.674629800000012</v>
      </c>
      <c r="E26" s="9" t="str">
        <f t="shared" ref="E26:E31" si="0">$D$4</f>
        <v>Triệu VNĐ</v>
      </c>
      <c r="F26" s="27" t="s">
        <v>129</v>
      </c>
    </row>
    <row r="27" spans="1:6" ht="21.95" customHeight="1" x14ac:dyDescent="0.2">
      <c r="A27" s="6" t="s">
        <v>130</v>
      </c>
      <c r="B27" s="28">
        <f>B24-B26</f>
        <v>1282.9919391726</v>
      </c>
      <c r="C27" s="28">
        <f>C24-C26</f>
        <v>2530.9919391726003</v>
      </c>
      <c r="D27" s="28">
        <f>D24-D26</f>
        <v>3778.9919391726003</v>
      </c>
      <c r="E27" s="7" t="str">
        <f t="shared" si="0"/>
        <v>Triệu VNĐ</v>
      </c>
      <c r="F27" s="29" t="e">
        <f>EBITDA - Khấu hao tài sản</f>
        <v>#NAME?</v>
      </c>
    </row>
    <row r="28" spans="1:6" ht="21.95" customHeight="1" x14ac:dyDescent="0.2">
      <c r="A28" s="2" t="s">
        <v>131</v>
      </c>
      <c r="B28" s="26">
        <f>IF(B27&gt;0, B27*'03_Gia_dinh_Vi_mo'!$C$11, 0)</f>
        <v>256.59838783452</v>
      </c>
      <c r="C28" s="26">
        <f>IF(C27&gt;0, C27*'03_Gia_dinh_Vi_mo'!$C$11, 0)</f>
        <v>506.19838783452008</v>
      </c>
      <c r="D28" s="26">
        <f>IF(D27&gt;0, D27*'03_Gia_dinh_Vi_mo'!$C$11, 0)</f>
        <v>755.7983878345201</v>
      </c>
      <c r="E28" s="9" t="str">
        <f t="shared" si="0"/>
        <v>Triệu VNĐ</v>
      </c>
      <c r="F28" s="27" t="s">
        <v>132</v>
      </c>
    </row>
    <row r="29" spans="1:6" ht="21.95" customHeight="1" x14ac:dyDescent="0.2">
      <c r="A29" s="20" t="s">
        <v>133</v>
      </c>
      <c r="B29" s="21">
        <f>B27-B28</f>
        <v>1026.39355133808</v>
      </c>
      <c r="C29" s="22">
        <f>C27-C28</f>
        <v>2024.7935513380803</v>
      </c>
      <c r="D29" s="23">
        <f>D27-D28</f>
        <v>3023.1935513380804</v>
      </c>
      <c r="E29" s="24" t="str">
        <f t="shared" si="0"/>
        <v>Triệu VNĐ</v>
      </c>
      <c r="F29" s="25" t="s">
        <v>134</v>
      </c>
    </row>
    <row r="30" spans="1:6" ht="21.95" customHeight="1" x14ac:dyDescent="0.2">
      <c r="A30" s="2" t="s">
        <v>135</v>
      </c>
      <c r="B30" s="26">
        <f>SUM('07_Dong_tien_60T'!N6:N17)*$G$4</f>
        <v>9654.3226160569611</v>
      </c>
      <c r="C30" s="26">
        <f>SUM('07_Dong_tien_60T'!Y6:Y17)*$G$4</f>
        <v>19638.322616056961</v>
      </c>
      <c r="D30" s="26">
        <f>SUM('07_Dong_tien_60T'!AJ6:AJ17)*$G$4</f>
        <v>29622.322616056968</v>
      </c>
      <c r="E30" s="9" t="str">
        <f t="shared" si="0"/>
        <v>Triệu VNĐ</v>
      </c>
      <c r="F30" s="27" t="s">
        <v>136</v>
      </c>
    </row>
    <row r="31" spans="1:6" ht="21.95" customHeight="1" x14ac:dyDescent="0.2">
      <c r="A31" s="6" t="s">
        <v>137</v>
      </c>
      <c r="B31" s="28">
        <f>SUM('07_Dong_tien_60T'!N6:N65)*$G$4</f>
        <v>61063.929718430329</v>
      </c>
      <c r="C31" s="28">
        <f>SUM('07_Dong_tien_60T'!Y6:Y65)*$G$4</f>
        <v>122674.8240308783</v>
      </c>
      <c r="D31" s="28">
        <f>SUM('07_Dong_tien_60T'!AJ6:AJ65)*$G$4</f>
        <v>184285.71834332639</v>
      </c>
      <c r="E31" s="7" t="str">
        <f t="shared" si="0"/>
        <v>Triệu VNĐ</v>
      </c>
      <c r="F31" s="29" t="s">
        <v>138</v>
      </c>
    </row>
    <row r="32" spans="1:6" ht="24" customHeight="1" x14ac:dyDescent="0.2">
      <c r="A32" s="105" t="s">
        <v>139</v>
      </c>
      <c r="B32" s="97"/>
      <c r="C32" s="97"/>
      <c r="D32" s="97"/>
      <c r="E32" s="97"/>
      <c r="F32" s="97"/>
    </row>
    <row r="33" spans="1:7" ht="21.95" customHeight="1" x14ac:dyDescent="0.2">
      <c r="A33" s="20" t="s">
        <v>140</v>
      </c>
      <c r="B33" s="21">
        <f>('03_Gia_dinh_Vi_mo'!$F$40/(1-'03_Gia_dinh_Vi_mo'!$C$17))*$G$4</f>
        <v>431.66678878425</v>
      </c>
      <c r="C33" s="22">
        <f>('03_Gia_dinh_Vi_mo'!$F$40/(1-'03_Gia_dinh_Vi_mo'!$C$17))*$G$4</f>
        <v>431.66678878425</v>
      </c>
      <c r="D33" s="23">
        <f>('03_Gia_dinh_Vi_mo'!$F$40/(1-'03_Gia_dinh_Vi_mo'!$C$17))*$G$4</f>
        <v>431.66678878425</v>
      </c>
      <c r="E33" s="24" t="str">
        <f>$D$4</f>
        <v>Triệu VNĐ</v>
      </c>
      <c r="F33" s="25"/>
    </row>
    <row r="34" spans="1:7" ht="21.95" customHeight="1" x14ac:dyDescent="0.2">
      <c r="A34" s="2" t="s">
        <v>141</v>
      </c>
      <c r="B34" s="26">
        <f>B33/'03_Gia_dinh_Vi_mo'!$C$18</f>
        <v>16.602568799394231</v>
      </c>
      <c r="C34" s="26">
        <f>C33/'03_Gia_dinh_Vi_mo'!$C$18</f>
        <v>16.602568799394231</v>
      </c>
      <c r="D34" s="26">
        <f>D33/'03_Gia_dinh_Vi_mo'!$C$18</f>
        <v>16.602568799394231</v>
      </c>
      <c r="E34" s="9" t="str">
        <f>$D$4 &amp; "/ngày"</f>
        <v>Triệu VNĐ/ngày</v>
      </c>
      <c r="F34" s="27" t="s">
        <v>142</v>
      </c>
    </row>
    <row r="35" spans="1:7" ht="21.95" customHeight="1" x14ac:dyDescent="0.2">
      <c r="A35" s="6" t="s">
        <v>143</v>
      </c>
      <c r="B35" s="31">
        <f>(B13-B33)/B13</f>
        <v>0.79246789000757212</v>
      </c>
      <c r="C35" s="31">
        <f>(C13-C33)/C13</f>
        <v>0.88141022286146975</v>
      </c>
      <c r="D35" s="31">
        <f>(D13-D33)/D13</f>
        <v>0.91698715600302871</v>
      </c>
      <c r="E35" s="7" t="s">
        <v>121</v>
      </c>
      <c r="F35" s="29" t="s">
        <v>144</v>
      </c>
    </row>
    <row r="36" spans="1:7" ht="24" customHeight="1" x14ac:dyDescent="0.2">
      <c r="A36" s="105" t="s">
        <v>145</v>
      </c>
      <c r="B36" s="97"/>
      <c r="C36" s="97"/>
      <c r="D36" s="97"/>
      <c r="E36" s="97"/>
      <c r="F36" s="97"/>
    </row>
    <row r="37" spans="1:7" ht="21.95" customHeight="1" x14ac:dyDescent="0.2">
      <c r="A37" s="20" t="s">
        <v>146</v>
      </c>
      <c r="B37" s="21">
        <f>'06_CAPEX_Dau_tu'!$G$31*$G$4</f>
        <v>3255.9659165544003</v>
      </c>
      <c r="C37" s="22">
        <f>'06_CAPEX_Dau_tu'!$G$31*$G$4</f>
        <v>3255.9659165544003</v>
      </c>
      <c r="D37" s="23">
        <f>'06_CAPEX_Dau_tu'!$G$31*$G$4</f>
        <v>3255.9659165544003</v>
      </c>
      <c r="E37" s="24" t="str">
        <f>$D$4</f>
        <v>Triệu VNĐ</v>
      </c>
      <c r="F37" s="25" t="s">
        <v>147</v>
      </c>
    </row>
    <row r="38" spans="1:7" ht="21.95" customHeight="1" x14ac:dyDescent="0.2">
      <c r="A38" s="2" t="s">
        <v>148</v>
      </c>
      <c r="B38" s="26">
        <f>'07_Dong_tien_60T'!P65*$G$4</f>
        <v>59948.441589875933</v>
      </c>
      <c r="C38" s="26">
        <f>'07_Dong_tien_60T'!AA65*$G$4</f>
        <v>121559.33590232408</v>
      </c>
      <c r="D38" s="26">
        <f>'07_Dong_tien_60T'!AL65*$G$4</f>
        <v>183170.23021477176</v>
      </c>
      <c r="E38" s="9" t="str">
        <f>$D$4</f>
        <v>Triệu VNĐ</v>
      </c>
      <c r="F38" s="27" t="s">
        <v>149</v>
      </c>
    </row>
    <row r="39" spans="1:7" ht="21.95" customHeight="1" x14ac:dyDescent="0.2">
      <c r="A39" s="20" t="s">
        <v>150</v>
      </c>
      <c r="B39" s="32" t="s">
        <v>151</v>
      </c>
      <c r="C39" s="33" t="s">
        <v>152</v>
      </c>
      <c r="D39" s="34" t="s">
        <v>153</v>
      </c>
      <c r="E39" s="24" t="s">
        <v>154</v>
      </c>
      <c r="F39" s="25" t="s">
        <v>155</v>
      </c>
    </row>
    <row r="40" spans="1:7" ht="21.95" customHeight="1" x14ac:dyDescent="0.2">
      <c r="A40" s="2" t="s">
        <v>156</v>
      </c>
      <c r="B40" s="26">
        <f>'07_Dong_tien_60T'!Q67*$G$4</f>
        <v>41059.314179956273</v>
      </c>
      <c r="C40" s="26">
        <f>'07_Dong_tien_60T'!AB67*$G$4</f>
        <v>84244.262786540974</v>
      </c>
      <c r="D40" s="26">
        <f>'07_Dong_tien_60T'!AM67*$G$4</f>
        <v>127429.21139312569</v>
      </c>
      <c r="E40" s="9" t="str">
        <f>$D$4</f>
        <v>Triệu VNĐ</v>
      </c>
      <c r="F40" s="27" t="s">
        <v>157</v>
      </c>
    </row>
    <row r="41" spans="1:7" ht="21.95" customHeight="1" x14ac:dyDescent="0.2">
      <c r="A41" s="6" t="s">
        <v>158</v>
      </c>
      <c r="B41" s="31">
        <f>'07_Dong_tien_60T'!Q68</f>
        <v>9.0079620209693072</v>
      </c>
      <c r="C41" s="31">
        <f>'07_Dong_tien_60T'!AB68</f>
        <v>38.714093566652977</v>
      </c>
      <c r="D41" s="31">
        <f>'07_Dong_tien_60T'!AM68</f>
        <v>117.0215164327157</v>
      </c>
      <c r="E41" s="7" t="s">
        <v>121</v>
      </c>
      <c r="F41" s="29" t="s">
        <v>159</v>
      </c>
    </row>
    <row r="42" spans="1:7" ht="27.95" customHeight="1" x14ac:dyDescent="0.2">
      <c r="A42" s="2" t="s">
        <v>160</v>
      </c>
      <c r="B42" s="35" t="s">
        <v>161</v>
      </c>
      <c r="C42" s="35" t="s">
        <v>162</v>
      </c>
      <c r="D42" s="35" t="s">
        <v>163</v>
      </c>
      <c r="E42" s="9"/>
      <c r="F42" s="27" t="s">
        <v>164</v>
      </c>
    </row>
    <row r="44" spans="1:7" ht="24" customHeight="1" x14ac:dyDescent="0.2">
      <c r="A44" s="100" t="s">
        <v>165</v>
      </c>
      <c r="B44" s="99"/>
      <c r="C44" s="99"/>
      <c r="D44" s="99"/>
      <c r="E44" s="99"/>
      <c r="F44" s="99"/>
      <c r="G44" s="99"/>
    </row>
    <row r="45" spans="1:7" ht="21.95" customHeight="1" x14ac:dyDescent="0.2">
      <c r="A45" s="10" t="s">
        <v>166</v>
      </c>
      <c r="B45" s="10" t="s">
        <v>167</v>
      </c>
      <c r="C45" s="10" t="s">
        <v>168</v>
      </c>
      <c r="D45" s="10" t="s">
        <v>169</v>
      </c>
      <c r="E45" s="10" t="s">
        <v>170</v>
      </c>
      <c r="F45" s="10" t="s">
        <v>171</v>
      </c>
      <c r="G45" s="10" t="s">
        <v>172</v>
      </c>
    </row>
    <row r="46" spans="1:7" ht="21.95" customHeight="1" x14ac:dyDescent="0.2">
      <c r="A46" s="1" t="s">
        <v>104</v>
      </c>
      <c r="B46" s="26">
        <f>'03_Gia_dinh_Vi_mo'!$C$19</f>
        <v>80</v>
      </c>
      <c r="C46" s="36">
        <f>'03_Gia_dinh_Vi_mo'!$E$19</f>
        <v>3090.8986942498468</v>
      </c>
      <c r="D46" s="26">
        <f>'03_Gia_dinh_Vi_mo'!$C$20</f>
        <v>140</v>
      </c>
      <c r="E46" s="36">
        <f>'03_Gia_dinh_Vi_mo'!$E$20</f>
        <v>5409.0727149372315</v>
      </c>
      <c r="F46" s="26">
        <f>'03_Gia_dinh_Vi_mo'!$C$21</f>
        <v>200</v>
      </c>
      <c r="G46" s="36">
        <f>'03_Gia_dinh_Vi_mo'!$E$21</f>
        <v>7727.246735624617</v>
      </c>
    </row>
    <row r="47" spans="1:7" ht="21.95" customHeight="1" x14ac:dyDescent="0.2">
      <c r="A47" s="1" t="s">
        <v>106</v>
      </c>
      <c r="B47" s="26">
        <f>'03_Gia_dinh_Vi_mo'!$C$22</f>
        <v>2080</v>
      </c>
      <c r="C47" s="36">
        <f>'03_Gia_dinh_Vi_mo'!$E$22</f>
        <v>80363.366050496013</v>
      </c>
      <c r="D47" s="26">
        <f>'03_Gia_dinh_Vi_mo'!$C$23</f>
        <v>3640</v>
      </c>
      <c r="E47" s="36">
        <f>'03_Gia_dinh_Vi_mo'!$E$23</f>
        <v>140635.89058836803</v>
      </c>
      <c r="F47" s="26">
        <f>'03_Gia_dinh_Vi_mo'!$C$24</f>
        <v>5200</v>
      </c>
      <c r="G47" s="36">
        <f>'03_Gia_dinh_Vi_mo'!$E$24</f>
        <v>200908.41512624003</v>
      </c>
    </row>
    <row r="48" spans="1:7" ht="21.95" customHeight="1" x14ac:dyDescent="0.2">
      <c r="A48" s="1" t="s">
        <v>119</v>
      </c>
      <c r="B48" s="26">
        <f>'03_Gia_dinh_Vi_mo'!$C$22*'03_Gia_dinh_Vi_mo'!$C$17+'03_Gia_dinh_Vi_mo'!$F$40</f>
        <v>761.33343102740002</v>
      </c>
      <c r="C48" s="36">
        <f>'03_Gia_dinh_Vi_mo'!$E$22*'03_Gia_dinh_Vi_mo'!$C$17+'03_Gia_dinh_Vi_mo'!$E$40</f>
        <v>29415.056348141828</v>
      </c>
      <c r="D48" s="26">
        <f>'03_Gia_dinh_Vi_mo'!$C$23*'03_Gia_dinh_Vi_mo'!$C$17+'03_Gia_dinh_Vi_mo'!$F$40</f>
        <v>1073.3334310273999</v>
      </c>
      <c r="E48" s="36">
        <f>'03_Gia_dinh_Vi_mo'!$E$23*'03_Gia_dinh_Vi_mo'!$C$17+'03_Gia_dinh_Vi_mo'!$E$40</f>
        <v>41469.561255716239</v>
      </c>
      <c r="F48" s="26">
        <f>'03_Gia_dinh_Vi_mo'!$C$24*'03_Gia_dinh_Vi_mo'!$C$17+'03_Gia_dinh_Vi_mo'!$F$40</f>
        <v>1385.3334310273999</v>
      </c>
      <c r="G48" s="36">
        <f>'03_Gia_dinh_Vi_mo'!$E$24*'03_Gia_dinh_Vi_mo'!$C$17+'03_Gia_dinh_Vi_mo'!$E$40</f>
        <v>53524.066163290634</v>
      </c>
    </row>
    <row r="49" spans="1:7" ht="21.95" customHeight="1" x14ac:dyDescent="0.2">
      <c r="A49" s="1" t="s">
        <v>173</v>
      </c>
      <c r="B49" s="26">
        <f t="shared" ref="B49:G49" si="1">B47-B48</f>
        <v>1318.6665689726001</v>
      </c>
      <c r="C49" s="36">
        <f t="shared" si="1"/>
        <v>50948.309702354185</v>
      </c>
      <c r="D49" s="26">
        <f t="shared" si="1"/>
        <v>2566.6665689726001</v>
      </c>
      <c r="E49" s="36">
        <f t="shared" si="1"/>
        <v>99166.329332651789</v>
      </c>
      <c r="F49" s="26">
        <f t="shared" si="1"/>
        <v>3814.6665689726001</v>
      </c>
      <c r="G49" s="36">
        <f t="shared" si="1"/>
        <v>147384.34896294939</v>
      </c>
    </row>
    <row r="50" spans="1:7" ht="21.95" customHeight="1" x14ac:dyDescent="0.2">
      <c r="A50" s="1" t="s">
        <v>174</v>
      </c>
      <c r="B50" s="26">
        <f>'03_Gia_dinh_Vi_mo'!$F$40/(1-'03_Gia_dinh_Vi_mo'!$C$17)</f>
        <v>431.66678878425</v>
      </c>
      <c r="C50" s="36">
        <f>'03_Gia_dinh_Vi_mo'!$E$40/(1-'03_Gia_dinh_Vi_mo'!$C$17)</f>
        <v>16677.978922553284</v>
      </c>
      <c r="D50" s="26">
        <f>B50</f>
        <v>431.66678878425</v>
      </c>
      <c r="E50" s="36">
        <f>C50</f>
        <v>16677.978922553284</v>
      </c>
      <c r="F50" s="26">
        <f>B50</f>
        <v>431.66678878425</v>
      </c>
      <c r="G50" s="36">
        <f>C50</f>
        <v>16677.978922553284</v>
      </c>
    </row>
    <row r="51" spans="1:7" ht="21.95" customHeight="1" x14ac:dyDescent="0.2">
      <c r="A51" s="1" t="s">
        <v>175</v>
      </c>
      <c r="B51" s="26">
        <f>'06_CAPEX_Dau_tu'!$G$31</f>
        <v>3255.9659165544003</v>
      </c>
      <c r="C51" s="36">
        <f>'06_CAPEX_Dau_tu'!$F$31</f>
        <v>125798.26000000001</v>
      </c>
      <c r="D51" s="26">
        <f>'06_CAPEX_Dau_tu'!$G$31</f>
        <v>3255.9659165544003</v>
      </c>
      <c r="E51" s="36">
        <f>'06_CAPEX_Dau_tu'!$F$31</f>
        <v>125798.26000000001</v>
      </c>
      <c r="F51" s="26">
        <f>'06_CAPEX_Dau_tu'!$G$31</f>
        <v>3255.9659165544003</v>
      </c>
      <c r="G51" s="36">
        <f>'06_CAPEX_Dau_tu'!$F$31</f>
        <v>125798.26000000001</v>
      </c>
    </row>
  </sheetData>
  <mergeCells count="17">
    <mergeCell ref="A1:G1"/>
    <mergeCell ref="D7:E7"/>
    <mergeCell ref="B7:C7"/>
    <mergeCell ref="A36:F36"/>
    <mergeCell ref="A32:F32"/>
    <mergeCell ref="A2:G2"/>
    <mergeCell ref="F6:G6"/>
    <mergeCell ref="A17:F17"/>
    <mergeCell ref="A22:F22"/>
    <mergeCell ref="B8:C8"/>
    <mergeCell ref="F7:G7"/>
    <mergeCell ref="F8:G8"/>
    <mergeCell ref="D8:E8"/>
    <mergeCell ref="D6:E6"/>
    <mergeCell ref="B6:C6"/>
    <mergeCell ref="A11:F11"/>
    <mergeCell ref="A44:G44"/>
  </mergeCells>
  <dataValidations count="1">
    <dataValidation type="list" sqref="B4" xr:uid="{00000000-0002-0000-0100-000000000000}">
      <formula1>"VND,USD,LAK"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topLeftCell="A27" workbookViewId="0">
      <selection sqref="A1:G1"/>
    </sheetView>
  </sheetViews>
  <sheetFormatPr defaultRowHeight="14.25" x14ac:dyDescent="0.2"/>
  <cols>
    <col min="1" max="1" width="8" customWidth="1"/>
    <col min="2" max="2" width="46" customWidth="1"/>
    <col min="3" max="4" width="16" customWidth="1"/>
    <col min="5" max="5" width="20" customWidth="1"/>
    <col min="6" max="6" width="24" customWidth="1"/>
    <col min="7" max="7" width="30" customWidth="1"/>
  </cols>
  <sheetData>
    <row r="1" spans="1:7" ht="27.95" customHeight="1" x14ac:dyDescent="0.2">
      <c r="A1" s="98" t="s">
        <v>176</v>
      </c>
      <c r="B1" s="99"/>
      <c r="C1" s="99"/>
      <c r="D1" s="99"/>
      <c r="E1" s="99"/>
      <c r="F1" s="99"/>
      <c r="G1" s="99"/>
    </row>
    <row r="2" spans="1:7" ht="20.100000000000001" customHeight="1" x14ac:dyDescent="0.25">
      <c r="A2" s="101" t="s">
        <v>177</v>
      </c>
      <c r="B2" s="99"/>
      <c r="C2" s="99"/>
      <c r="D2" s="99"/>
      <c r="E2" s="99"/>
      <c r="F2" s="99"/>
      <c r="G2" s="99"/>
    </row>
    <row r="4" spans="1:7" ht="24" customHeight="1" x14ac:dyDescent="0.2">
      <c r="A4" s="100" t="s">
        <v>178</v>
      </c>
      <c r="B4" s="99"/>
      <c r="C4" s="99"/>
      <c r="D4" s="99"/>
      <c r="E4" s="99"/>
      <c r="F4" s="99"/>
      <c r="G4" s="99"/>
    </row>
    <row r="5" spans="1:7" ht="21.95" customHeight="1" x14ac:dyDescent="0.2">
      <c r="A5" s="3" t="s">
        <v>179</v>
      </c>
      <c r="B5" s="3" t="s">
        <v>180</v>
      </c>
      <c r="C5" s="3" t="s">
        <v>181</v>
      </c>
      <c r="D5" s="3" t="s">
        <v>182</v>
      </c>
      <c r="E5" s="3" t="s">
        <v>183</v>
      </c>
      <c r="F5" s="3" t="s">
        <v>184</v>
      </c>
    </row>
    <row r="6" spans="1:7" ht="21.95" customHeight="1" x14ac:dyDescent="0.2">
      <c r="A6" s="9" t="s">
        <v>185</v>
      </c>
      <c r="B6" s="2" t="s">
        <v>186</v>
      </c>
      <c r="C6" s="37">
        <v>25882.44</v>
      </c>
      <c r="D6" s="9" t="s">
        <v>187</v>
      </c>
      <c r="E6" s="9" t="s">
        <v>188</v>
      </c>
      <c r="F6" s="2" t="s">
        <v>189</v>
      </c>
    </row>
    <row r="7" spans="1:7" ht="21.95" customHeight="1" x14ac:dyDescent="0.2">
      <c r="A7" s="9" t="s">
        <v>190</v>
      </c>
      <c r="B7" s="2" t="s">
        <v>191</v>
      </c>
      <c r="C7" s="37">
        <v>22402.5</v>
      </c>
      <c r="D7" s="9" t="s">
        <v>192</v>
      </c>
      <c r="E7" s="9" t="s">
        <v>193</v>
      </c>
      <c r="F7" s="2" t="s">
        <v>194</v>
      </c>
    </row>
    <row r="8" spans="1:7" ht="21.95" customHeight="1" x14ac:dyDescent="0.2">
      <c r="A8" s="9" t="s">
        <v>195</v>
      </c>
      <c r="B8" s="2" t="s">
        <v>196</v>
      </c>
      <c r="C8" s="38">
        <f>C6/C7</f>
        <v>1.1553371275527284</v>
      </c>
      <c r="D8" s="9" t="s">
        <v>197</v>
      </c>
      <c r="E8" s="9" t="s">
        <v>198</v>
      </c>
      <c r="F8" s="2"/>
    </row>
    <row r="9" spans="1:7" ht="21.95" customHeight="1" x14ac:dyDescent="0.2">
      <c r="A9" s="9" t="s">
        <v>199</v>
      </c>
      <c r="B9" s="2" t="s">
        <v>200</v>
      </c>
      <c r="C9" s="39">
        <v>7.8E-2</v>
      </c>
      <c r="D9" s="9" t="s">
        <v>201</v>
      </c>
      <c r="E9" s="9" t="s">
        <v>202</v>
      </c>
      <c r="F9" s="2" t="s">
        <v>203</v>
      </c>
    </row>
    <row r="10" spans="1:7" ht="21.95" customHeight="1" x14ac:dyDescent="0.2">
      <c r="A10" s="9" t="s">
        <v>204</v>
      </c>
      <c r="B10" s="2" t="s">
        <v>205</v>
      </c>
      <c r="C10" s="39">
        <v>0.03</v>
      </c>
      <c r="D10" s="9" t="s">
        <v>201</v>
      </c>
      <c r="E10" s="9" t="s">
        <v>206</v>
      </c>
      <c r="F10" s="2" t="s">
        <v>207</v>
      </c>
    </row>
    <row r="11" spans="1:7" ht="21.95" customHeight="1" x14ac:dyDescent="0.2">
      <c r="A11" s="9" t="s">
        <v>208</v>
      </c>
      <c r="B11" s="2" t="s">
        <v>209</v>
      </c>
      <c r="C11" s="39">
        <v>0.2</v>
      </c>
      <c r="D11" s="9" t="s">
        <v>121</v>
      </c>
      <c r="E11" s="9" t="s">
        <v>210</v>
      </c>
      <c r="F11" s="2" t="s">
        <v>211</v>
      </c>
    </row>
    <row r="12" spans="1:7" ht="21.95" customHeight="1" x14ac:dyDescent="0.2">
      <c r="A12" s="9" t="s">
        <v>212</v>
      </c>
      <c r="B12" s="2" t="s">
        <v>213</v>
      </c>
      <c r="C12" s="39">
        <v>0.15</v>
      </c>
      <c r="D12" s="9" t="s">
        <v>201</v>
      </c>
      <c r="E12" s="9" t="s">
        <v>214</v>
      </c>
      <c r="F12" s="2" t="s">
        <v>215</v>
      </c>
    </row>
    <row r="13" spans="1:7" ht="21.95" customHeight="1" x14ac:dyDescent="0.2">
      <c r="A13" s="9" t="s">
        <v>216</v>
      </c>
      <c r="B13" s="2" t="s">
        <v>217</v>
      </c>
      <c r="C13" s="39">
        <v>0</v>
      </c>
      <c r="D13" s="9" t="s">
        <v>121</v>
      </c>
      <c r="E13" s="9" t="s">
        <v>218</v>
      </c>
      <c r="F13" s="2" t="s">
        <v>219</v>
      </c>
    </row>
    <row r="15" spans="1:7" ht="24" customHeight="1" x14ac:dyDescent="0.2">
      <c r="A15" s="100" t="s">
        <v>220</v>
      </c>
      <c r="B15" s="99"/>
      <c r="C15" s="99"/>
      <c r="D15" s="99"/>
      <c r="E15" s="99"/>
      <c r="F15" s="99"/>
      <c r="G15" s="99"/>
    </row>
    <row r="16" spans="1:7" ht="21.95" customHeight="1" x14ac:dyDescent="0.2">
      <c r="A16" s="3" t="s">
        <v>179</v>
      </c>
      <c r="B16" s="3" t="s">
        <v>221</v>
      </c>
      <c r="C16" s="3" t="s">
        <v>181</v>
      </c>
      <c r="D16" s="3" t="s">
        <v>182</v>
      </c>
      <c r="E16" s="3" t="s">
        <v>222</v>
      </c>
      <c r="F16" s="3" t="s">
        <v>223</v>
      </c>
    </row>
    <row r="17" spans="1:7" ht="21.95" customHeight="1" x14ac:dyDescent="0.2">
      <c r="A17" s="9" t="s">
        <v>224</v>
      </c>
      <c r="B17" s="2" t="s">
        <v>225</v>
      </c>
      <c r="C17" s="39">
        <v>0.2</v>
      </c>
      <c r="D17" s="9" t="s">
        <v>121</v>
      </c>
      <c r="E17" s="40"/>
      <c r="F17" s="2" t="s">
        <v>226</v>
      </c>
    </row>
    <row r="18" spans="1:7" ht="21.95" customHeight="1" x14ac:dyDescent="0.2">
      <c r="A18" s="9" t="s">
        <v>227</v>
      </c>
      <c r="B18" s="2" t="s">
        <v>228</v>
      </c>
      <c r="C18" s="41">
        <v>26</v>
      </c>
      <c r="D18" s="9" t="s">
        <v>229</v>
      </c>
      <c r="E18" s="40"/>
      <c r="F18" s="2" t="s">
        <v>230</v>
      </c>
    </row>
    <row r="19" spans="1:7" ht="21.95" customHeight="1" x14ac:dyDescent="0.2">
      <c r="A19" s="9" t="s">
        <v>231</v>
      </c>
      <c r="B19" s="2" t="s">
        <v>232</v>
      </c>
      <c r="C19" s="42">
        <v>80</v>
      </c>
      <c r="D19" s="9" t="s">
        <v>233</v>
      </c>
      <c r="E19" s="36">
        <f t="shared" ref="E19:E24" si="0">C19*1000000/$C$6</f>
        <v>3090.8986942498468</v>
      </c>
      <c r="F19" s="2" t="s">
        <v>234</v>
      </c>
    </row>
    <row r="20" spans="1:7" ht="21.95" customHeight="1" x14ac:dyDescent="0.2">
      <c r="A20" s="9" t="s">
        <v>235</v>
      </c>
      <c r="B20" s="2" t="s">
        <v>236</v>
      </c>
      <c r="C20" s="42">
        <v>140</v>
      </c>
      <c r="D20" s="9" t="s">
        <v>233</v>
      </c>
      <c r="E20" s="36">
        <f t="shared" si="0"/>
        <v>5409.0727149372315</v>
      </c>
      <c r="F20" s="2" t="s">
        <v>237</v>
      </c>
    </row>
    <row r="21" spans="1:7" ht="21.95" customHeight="1" x14ac:dyDescent="0.2">
      <c r="A21" s="9" t="s">
        <v>238</v>
      </c>
      <c r="B21" s="2" t="s">
        <v>239</v>
      </c>
      <c r="C21" s="42">
        <v>200</v>
      </c>
      <c r="D21" s="9" t="s">
        <v>233</v>
      </c>
      <c r="E21" s="36">
        <f t="shared" si="0"/>
        <v>7727.246735624617</v>
      </c>
      <c r="F21" s="2" t="s">
        <v>240</v>
      </c>
    </row>
    <row r="22" spans="1:7" ht="21.95" customHeight="1" x14ac:dyDescent="0.2">
      <c r="A22" s="43" t="s">
        <v>241</v>
      </c>
      <c r="B22" s="44" t="s">
        <v>242</v>
      </c>
      <c r="C22" s="45">
        <f>C19*C18</f>
        <v>2080</v>
      </c>
      <c r="D22" s="43" t="s">
        <v>243</v>
      </c>
      <c r="E22" s="46">
        <f t="shared" si="0"/>
        <v>80363.366050496013</v>
      </c>
      <c r="F22" s="44"/>
    </row>
    <row r="23" spans="1:7" ht="21.95" customHeight="1" x14ac:dyDescent="0.2">
      <c r="A23" s="43" t="s">
        <v>244</v>
      </c>
      <c r="B23" s="44" t="s">
        <v>245</v>
      </c>
      <c r="C23" s="45">
        <f>C20*C18</f>
        <v>3640</v>
      </c>
      <c r="D23" s="43" t="s">
        <v>243</v>
      </c>
      <c r="E23" s="46">
        <f t="shared" si="0"/>
        <v>140635.89058836803</v>
      </c>
      <c r="F23" s="44"/>
    </row>
    <row r="24" spans="1:7" ht="21.95" customHeight="1" x14ac:dyDescent="0.2">
      <c r="A24" s="43" t="s">
        <v>246</v>
      </c>
      <c r="B24" s="44" t="s">
        <v>247</v>
      </c>
      <c r="C24" s="45">
        <f>C21*C18</f>
        <v>5200</v>
      </c>
      <c r="D24" s="43" t="s">
        <v>243</v>
      </c>
      <c r="E24" s="46">
        <f t="shared" si="0"/>
        <v>200908.41512624003</v>
      </c>
      <c r="F24" s="44"/>
    </row>
    <row r="25" spans="1:7" ht="21.95" customHeight="1" x14ac:dyDescent="0.2">
      <c r="A25" s="9" t="s">
        <v>248</v>
      </c>
      <c r="B25" s="2" t="s">
        <v>249</v>
      </c>
      <c r="C25" s="47">
        <v>239.45</v>
      </c>
      <c r="D25" s="9" t="s">
        <v>250</v>
      </c>
      <c r="E25" s="48">
        <f>C25*$C$6/1000000</f>
        <v>6.1975502579999997</v>
      </c>
      <c r="F25" s="2" t="s">
        <v>251</v>
      </c>
    </row>
    <row r="27" spans="1:7" ht="24" customHeight="1" x14ac:dyDescent="0.2">
      <c r="A27" s="100" t="s">
        <v>252</v>
      </c>
      <c r="B27" s="99"/>
      <c r="C27" s="99"/>
      <c r="D27" s="99"/>
      <c r="E27" s="99"/>
      <c r="F27" s="99"/>
      <c r="G27" s="99"/>
    </row>
    <row r="28" spans="1:7" ht="21.95" customHeight="1" x14ac:dyDescent="0.2">
      <c r="A28" s="3" t="s">
        <v>179</v>
      </c>
      <c r="B28" s="3" t="s">
        <v>253</v>
      </c>
      <c r="C28" s="3" t="s">
        <v>254</v>
      </c>
      <c r="D28" s="3" t="s">
        <v>255</v>
      </c>
      <c r="E28" s="3" t="s">
        <v>256</v>
      </c>
      <c r="F28" s="3" t="s">
        <v>257</v>
      </c>
      <c r="G28" s="3" t="s">
        <v>258</v>
      </c>
    </row>
    <row r="29" spans="1:7" ht="21.95" customHeight="1" x14ac:dyDescent="0.2">
      <c r="A29" s="2" t="s">
        <v>259</v>
      </c>
      <c r="B29" s="2" t="s">
        <v>260</v>
      </c>
      <c r="C29" s="49">
        <v>2</v>
      </c>
      <c r="D29" s="9" t="s">
        <v>261</v>
      </c>
      <c r="E29" s="47">
        <v>2000</v>
      </c>
      <c r="F29" s="50">
        <f>C29*E29*$C$6/1000000</f>
        <v>103.52976</v>
      </c>
      <c r="G29" s="2" t="s">
        <v>262</v>
      </c>
    </row>
    <row r="30" spans="1:7" ht="21.95" customHeight="1" x14ac:dyDescent="0.2">
      <c r="A30" s="2" t="s">
        <v>263</v>
      </c>
      <c r="B30" s="2" t="s">
        <v>264</v>
      </c>
      <c r="C30" s="49">
        <v>3</v>
      </c>
      <c r="D30" s="9" t="s">
        <v>265</v>
      </c>
      <c r="E30" s="41">
        <v>8000000</v>
      </c>
      <c r="F30" s="50">
        <f>C30*E30*($C$6/$C$7)/1000000</f>
        <v>27.728091061265484</v>
      </c>
      <c r="G30" s="2" t="s">
        <v>266</v>
      </c>
    </row>
    <row r="31" spans="1:7" ht="21.95" customHeight="1" x14ac:dyDescent="0.2">
      <c r="A31" s="2" t="s">
        <v>267</v>
      </c>
      <c r="B31" s="2" t="s">
        <v>268</v>
      </c>
      <c r="C31" s="49">
        <v>1</v>
      </c>
      <c r="D31" s="9" t="s">
        <v>265</v>
      </c>
      <c r="E31" s="41">
        <v>8000000</v>
      </c>
      <c r="F31" s="50">
        <f>C31*E31*($C$6/$C$7)/1000000</f>
        <v>9.2426970204218275</v>
      </c>
      <c r="G31" s="2" t="s">
        <v>269</v>
      </c>
    </row>
    <row r="32" spans="1:7" ht="21.95" customHeight="1" x14ac:dyDescent="0.2">
      <c r="A32" s="2" t="s">
        <v>270</v>
      </c>
      <c r="B32" s="2" t="s">
        <v>271</v>
      </c>
      <c r="C32" s="49">
        <v>1</v>
      </c>
      <c r="D32" s="9" t="s">
        <v>265</v>
      </c>
      <c r="E32" s="41">
        <v>8000000</v>
      </c>
      <c r="F32" s="50">
        <f>C32*E32*($C$6/$C$7)/1000000</f>
        <v>9.2426970204218275</v>
      </c>
      <c r="G32" s="2" t="s">
        <v>272</v>
      </c>
    </row>
    <row r="33" spans="1:7" ht="21.95" customHeight="1" x14ac:dyDescent="0.2">
      <c r="A33" s="2" t="s">
        <v>273</v>
      </c>
      <c r="B33" s="2" t="s">
        <v>274</v>
      </c>
      <c r="C33" s="49">
        <v>1</v>
      </c>
      <c r="D33" s="9" t="s">
        <v>265</v>
      </c>
      <c r="E33" s="41">
        <v>15000000</v>
      </c>
      <c r="F33" s="50">
        <f>C33*E33*($C$6/$C$7)/1000000</f>
        <v>17.330056913290925</v>
      </c>
      <c r="G33" s="2" t="s">
        <v>275</v>
      </c>
    </row>
    <row r="34" spans="1:7" ht="21.95" customHeight="1" x14ac:dyDescent="0.2">
      <c r="A34" s="2" t="s">
        <v>276</v>
      </c>
      <c r="B34" s="2" t="s">
        <v>277</v>
      </c>
      <c r="C34" s="49">
        <v>1</v>
      </c>
      <c r="D34" s="9" t="s">
        <v>261</v>
      </c>
      <c r="E34" s="47">
        <v>387.3</v>
      </c>
      <c r="F34" s="50">
        <f t="shared" ref="F34:F39" si="1">C34*E34*$C$6/1000000</f>
        <v>10.024269012</v>
      </c>
      <c r="G34" s="2" t="s">
        <v>278</v>
      </c>
    </row>
    <row r="35" spans="1:7" ht="21.95" customHeight="1" x14ac:dyDescent="0.2">
      <c r="A35" s="2" t="s">
        <v>279</v>
      </c>
      <c r="B35" s="2" t="s">
        <v>280</v>
      </c>
      <c r="C35" s="49">
        <v>1</v>
      </c>
      <c r="D35" s="9" t="s">
        <v>261</v>
      </c>
      <c r="E35" s="47">
        <v>500</v>
      </c>
      <c r="F35" s="50">
        <f t="shared" si="1"/>
        <v>12.94122</v>
      </c>
      <c r="G35" s="2" t="s">
        <v>281</v>
      </c>
    </row>
    <row r="36" spans="1:7" ht="21.95" customHeight="1" x14ac:dyDescent="0.2">
      <c r="A36" s="2" t="s">
        <v>282</v>
      </c>
      <c r="B36" s="2" t="s">
        <v>283</v>
      </c>
      <c r="C36" s="49">
        <v>1</v>
      </c>
      <c r="D36" s="9" t="s">
        <v>261</v>
      </c>
      <c r="E36" s="47">
        <v>400</v>
      </c>
      <c r="F36" s="50">
        <f t="shared" si="1"/>
        <v>10.352976</v>
      </c>
      <c r="G36" s="2" t="s">
        <v>284</v>
      </c>
    </row>
    <row r="37" spans="1:7" ht="21.95" customHeight="1" x14ac:dyDescent="0.2">
      <c r="A37" s="2" t="s">
        <v>285</v>
      </c>
      <c r="B37" s="2" t="s">
        <v>286</v>
      </c>
      <c r="C37" s="49">
        <v>1</v>
      </c>
      <c r="D37" s="9" t="s">
        <v>261</v>
      </c>
      <c r="E37" s="47">
        <v>5000</v>
      </c>
      <c r="F37" s="50">
        <f t="shared" si="1"/>
        <v>129.41220000000001</v>
      </c>
      <c r="G37" s="2" t="s">
        <v>287</v>
      </c>
    </row>
    <row r="38" spans="1:7" ht="21.95" customHeight="1" x14ac:dyDescent="0.2">
      <c r="A38" s="2" t="s">
        <v>288</v>
      </c>
      <c r="B38" s="2" t="s">
        <v>289</v>
      </c>
      <c r="C38" s="49">
        <v>1</v>
      </c>
      <c r="D38" s="9" t="s">
        <v>261</v>
      </c>
      <c r="E38" s="47">
        <v>300</v>
      </c>
      <c r="F38" s="50">
        <f t="shared" si="1"/>
        <v>7.7647320000000004</v>
      </c>
      <c r="G38" s="2" t="s">
        <v>290</v>
      </c>
    </row>
    <row r="39" spans="1:7" ht="21.95" customHeight="1" x14ac:dyDescent="0.2">
      <c r="A39" s="2" t="s">
        <v>291</v>
      </c>
      <c r="B39" s="2" t="s">
        <v>292</v>
      </c>
      <c r="C39" s="49">
        <v>1</v>
      </c>
      <c r="D39" s="9" t="s">
        <v>261</v>
      </c>
      <c r="E39" s="47">
        <v>300</v>
      </c>
      <c r="F39" s="50">
        <f t="shared" si="1"/>
        <v>7.7647320000000004</v>
      </c>
      <c r="G39" s="2" t="s">
        <v>293</v>
      </c>
    </row>
    <row r="40" spans="1:7" ht="21.95" customHeight="1" x14ac:dyDescent="0.2">
      <c r="A40" s="20" t="s">
        <v>294</v>
      </c>
      <c r="B40" s="20" t="s">
        <v>295</v>
      </c>
      <c r="C40" s="24"/>
      <c r="D40" s="24" t="s">
        <v>261</v>
      </c>
      <c r="E40" s="51">
        <f>F40*1000000/$C$6</f>
        <v>13342.383138042627</v>
      </c>
      <c r="F40" s="52">
        <f>SUM(F29:F39)</f>
        <v>345.33343102740002</v>
      </c>
      <c r="G40" s="20" t="s">
        <v>296</v>
      </c>
    </row>
    <row r="42" spans="1:7" ht="24" customHeight="1" x14ac:dyDescent="0.2">
      <c r="A42" s="100" t="s">
        <v>297</v>
      </c>
      <c r="B42" s="99"/>
      <c r="C42" s="99"/>
      <c r="D42" s="99"/>
      <c r="E42" s="99"/>
      <c r="F42" s="99"/>
      <c r="G42" s="99"/>
    </row>
    <row r="43" spans="1:7" ht="20.100000000000001" customHeight="1" x14ac:dyDescent="0.2">
      <c r="A43" s="3" t="s">
        <v>298</v>
      </c>
      <c r="B43" s="3" t="s">
        <v>299</v>
      </c>
      <c r="C43" s="3" t="s">
        <v>300</v>
      </c>
      <c r="D43" s="3" t="s">
        <v>301</v>
      </c>
      <c r="E43" s="3" t="s">
        <v>302</v>
      </c>
      <c r="F43" s="3" t="s">
        <v>303</v>
      </c>
      <c r="G43" s="3" t="s">
        <v>304</v>
      </c>
    </row>
    <row r="44" spans="1:7" ht="21.95" customHeight="1" x14ac:dyDescent="0.2">
      <c r="A44" s="53" t="s">
        <v>305</v>
      </c>
      <c r="B44" s="54">
        <v>0.3</v>
      </c>
      <c r="C44" s="54">
        <v>0.45</v>
      </c>
      <c r="D44" s="54">
        <v>0.6</v>
      </c>
      <c r="E44" s="54">
        <v>0.75</v>
      </c>
      <c r="F44" s="54">
        <v>0.9</v>
      </c>
      <c r="G44" s="54">
        <v>1</v>
      </c>
    </row>
  </sheetData>
  <mergeCells count="6">
    <mergeCell ref="A42:G42"/>
    <mergeCell ref="A1:G1"/>
    <mergeCell ref="A27:G27"/>
    <mergeCell ref="A4:G4"/>
    <mergeCell ref="A2:G2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>
      <selection sqref="A1:G1"/>
    </sheetView>
  </sheetViews>
  <sheetFormatPr defaultRowHeight="14.25" x14ac:dyDescent="0.2"/>
  <cols>
    <col min="1" max="1" width="6" customWidth="1"/>
    <col min="2" max="2" width="46" customWidth="1"/>
    <col min="3" max="3" width="24" customWidth="1"/>
    <col min="4" max="6" width="22" customWidth="1"/>
    <col min="7" max="7" width="46" customWidth="1"/>
  </cols>
  <sheetData>
    <row r="1" spans="1:7" ht="27.95" customHeight="1" x14ac:dyDescent="0.2">
      <c r="A1" s="98" t="s">
        <v>306</v>
      </c>
      <c r="B1" s="99"/>
      <c r="C1" s="99"/>
      <c r="D1" s="99"/>
      <c r="E1" s="99"/>
      <c r="F1" s="99"/>
      <c r="G1" s="99"/>
    </row>
    <row r="2" spans="1:7" ht="20.100000000000001" customHeight="1" x14ac:dyDescent="0.25">
      <c r="A2" s="101" t="s">
        <v>307</v>
      </c>
      <c r="B2" s="99"/>
      <c r="C2" s="99"/>
      <c r="D2" s="99"/>
      <c r="E2" s="99"/>
      <c r="F2" s="99"/>
      <c r="G2" s="99"/>
    </row>
    <row r="4" spans="1:7" ht="24" customHeight="1" x14ac:dyDescent="0.2">
      <c r="A4" s="100" t="s">
        <v>308</v>
      </c>
      <c r="B4" s="99"/>
      <c r="C4" s="99"/>
      <c r="D4" s="99"/>
      <c r="E4" s="99"/>
      <c r="F4" s="99"/>
      <c r="G4" s="99"/>
    </row>
    <row r="5" spans="1:7" ht="24" customHeight="1" x14ac:dyDescent="0.2">
      <c r="A5" s="10" t="s">
        <v>309</v>
      </c>
      <c r="B5" s="10" t="s">
        <v>310</v>
      </c>
      <c r="C5" s="10" t="s">
        <v>311</v>
      </c>
      <c r="D5" s="10" t="s">
        <v>312</v>
      </c>
      <c r="E5" s="10" t="s">
        <v>313</v>
      </c>
      <c r="F5" s="10" t="s">
        <v>314</v>
      </c>
      <c r="G5" s="10" t="s">
        <v>315</v>
      </c>
    </row>
    <row r="6" spans="1:7" ht="21.95" customHeight="1" x14ac:dyDescent="0.2">
      <c r="A6" s="9">
        <v>1</v>
      </c>
      <c r="B6" s="1" t="s">
        <v>316</v>
      </c>
      <c r="C6" s="55">
        <v>15</v>
      </c>
      <c r="D6" s="26">
        <f>C6*'03_Gia_dinh_Vi_mo'!$C$6/1000000</f>
        <v>0.38823659999999999</v>
      </c>
      <c r="E6" s="56">
        <v>0.03</v>
      </c>
      <c r="F6" s="56">
        <v>0.05</v>
      </c>
      <c r="G6" s="27" t="s">
        <v>317</v>
      </c>
    </row>
    <row r="7" spans="1:7" ht="21.95" customHeight="1" x14ac:dyDescent="0.2">
      <c r="A7" s="9">
        <v>2</v>
      </c>
      <c r="B7" s="1" t="s">
        <v>318</v>
      </c>
      <c r="C7" s="55">
        <v>60</v>
      </c>
      <c r="D7" s="26">
        <f>C7*'03_Gia_dinh_Vi_mo'!$C$6/1000000</f>
        <v>1.5529463999999999</v>
      </c>
      <c r="E7" s="56">
        <v>7.0000000000000007E-2</v>
      </c>
      <c r="F7" s="56">
        <v>0.15</v>
      </c>
      <c r="G7" s="27" t="s">
        <v>319</v>
      </c>
    </row>
    <row r="8" spans="1:7" ht="21.95" customHeight="1" x14ac:dyDescent="0.2">
      <c r="A8" s="9">
        <v>3</v>
      </c>
      <c r="B8" s="1" t="s">
        <v>320</v>
      </c>
      <c r="C8" s="55">
        <v>50</v>
      </c>
      <c r="D8" s="26">
        <f>C8*'03_Gia_dinh_Vi_mo'!$C$6/1000000</f>
        <v>1.294122</v>
      </c>
      <c r="E8" s="56">
        <v>0.1</v>
      </c>
      <c r="F8" s="56">
        <v>0.15</v>
      </c>
      <c r="G8" s="27" t="s">
        <v>321</v>
      </c>
    </row>
    <row r="9" spans="1:7" ht="21.95" customHeight="1" x14ac:dyDescent="0.2">
      <c r="A9" s="9">
        <v>4</v>
      </c>
      <c r="B9" s="1" t="s">
        <v>322</v>
      </c>
      <c r="C9" s="55">
        <v>80</v>
      </c>
      <c r="D9" s="26">
        <f>C9*'03_Gia_dinh_Vi_mo'!$C$6/1000000</f>
        <v>2.0705952000000001</v>
      </c>
      <c r="E9" s="56">
        <v>0.1</v>
      </c>
      <c r="F9" s="56">
        <v>0.15</v>
      </c>
      <c r="G9" s="27" t="s">
        <v>323</v>
      </c>
    </row>
    <row r="10" spans="1:7" ht="21.95" customHeight="1" x14ac:dyDescent="0.2">
      <c r="A10" s="9">
        <v>5</v>
      </c>
      <c r="B10" s="1" t="s">
        <v>324</v>
      </c>
      <c r="C10" s="55">
        <v>250</v>
      </c>
      <c r="D10" s="26">
        <f>C10*'03_Gia_dinh_Vi_mo'!$C$6/1000000</f>
        <v>6.4706099999999998</v>
      </c>
      <c r="E10" s="56">
        <v>0.25</v>
      </c>
      <c r="F10" s="56">
        <v>0.25</v>
      </c>
      <c r="G10" s="27" t="s">
        <v>325</v>
      </c>
    </row>
    <row r="11" spans="1:7" ht="21.95" customHeight="1" x14ac:dyDescent="0.2">
      <c r="A11" s="9">
        <v>6</v>
      </c>
      <c r="B11" s="1" t="s">
        <v>326</v>
      </c>
      <c r="C11" s="55">
        <v>900</v>
      </c>
      <c r="D11" s="26">
        <f>C11*'03_Gia_dinh_Vi_mo'!$C$6/1000000</f>
        <v>23.294195999999999</v>
      </c>
      <c r="E11" s="56">
        <v>0.3</v>
      </c>
      <c r="F11" s="56">
        <v>0.25</v>
      </c>
      <c r="G11" s="27" t="s">
        <v>327</v>
      </c>
    </row>
    <row r="12" spans="1:7" ht="21.95" customHeight="1" x14ac:dyDescent="0.2">
      <c r="A12" s="9">
        <v>7</v>
      </c>
      <c r="B12" s="1" t="s">
        <v>328</v>
      </c>
      <c r="C12" s="55">
        <v>1200</v>
      </c>
      <c r="D12" s="26">
        <f>C12*'03_Gia_dinh_Vi_mo'!$C$6/1000000</f>
        <v>31.058928000000002</v>
      </c>
      <c r="E12" s="56">
        <v>0.15</v>
      </c>
      <c r="F12" s="56">
        <v>0.2</v>
      </c>
      <c r="G12" s="27" t="s">
        <v>329</v>
      </c>
    </row>
    <row r="13" spans="1:7" ht="24" customHeight="1" x14ac:dyDescent="0.2">
      <c r="A13" s="112" t="s">
        <v>330</v>
      </c>
      <c r="B13" s="113"/>
      <c r="C13" s="113"/>
      <c r="D13" s="113"/>
      <c r="E13" s="58">
        <f>SUM(E6:E12)</f>
        <v>1</v>
      </c>
      <c r="F13" s="58">
        <f>SUMPRODUCT(E6:E12, F6:F12)</f>
        <v>0.20949999999999999</v>
      </c>
      <c r="G13" s="20" t="s">
        <v>331</v>
      </c>
    </row>
    <row r="15" spans="1:7" ht="24" customHeight="1" x14ac:dyDescent="0.2">
      <c r="A15" s="100" t="s">
        <v>332</v>
      </c>
      <c r="B15" s="99"/>
      <c r="C15" s="99"/>
      <c r="D15" s="99"/>
      <c r="E15" s="99"/>
      <c r="F15" s="99"/>
      <c r="G15" s="99"/>
    </row>
    <row r="16" spans="1:7" ht="21.95" customHeight="1" x14ac:dyDescent="0.2">
      <c r="A16" s="3" t="s">
        <v>333</v>
      </c>
      <c r="B16" s="3" t="s">
        <v>334</v>
      </c>
      <c r="C16" s="3" t="s">
        <v>335</v>
      </c>
      <c r="D16" s="3" t="s">
        <v>336</v>
      </c>
      <c r="E16" s="3" t="s">
        <v>337</v>
      </c>
      <c r="F16" s="3" t="s">
        <v>338</v>
      </c>
    </row>
    <row r="17" spans="1:6" ht="21.95" customHeight="1" x14ac:dyDescent="0.2">
      <c r="A17" s="5" t="s">
        <v>339</v>
      </c>
      <c r="B17" s="6" t="s">
        <v>340</v>
      </c>
      <c r="C17" s="7" t="s">
        <v>341</v>
      </c>
      <c r="D17" s="7" t="s">
        <v>342</v>
      </c>
      <c r="E17" s="7" t="s">
        <v>343</v>
      </c>
      <c r="F17" s="5" t="s">
        <v>344</v>
      </c>
    </row>
    <row r="18" spans="1:6" ht="21.95" customHeight="1" x14ac:dyDescent="0.2">
      <c r="A18" s="1" t="s">
        <v>345</v>
      </c>
      <c r="B18" s="2"/>
      <c r="C18" s="9" t="s">
        <v>346</v>
      </c>
      <c r="D18" s="9" t="s">
        <v>347</v>
      </c>
      <c r="E18" s="9" t="s">
        <v>348</v>
      </c>
      <c r="F18" s="1" t="s">
        <v>349</v>
      </c>
    </row>
    <row r="19" spans="1:6" ht="21.95" customHeight="1" x14ac:dyDescent="0.2">
      <c r="A19" s="5" t="s">
        <v>350</v>
      </c>
      <c r="B19" s="6"/>
      <c r="C19" s="7" t="s">
        <v>351</v>
      </c>
      <c r="D19" s="7" t="s">
        <v>352</v>
      </c>
      <c r="E19" s="7" t="s">
        <v>353</v>
      </c>
      <c r="F19" s="5" t="s">
        <v>354</v>
      </c>
    </row>
    <row r="20" spans="1:6" ht="21.95" customHeight="1" x14ac:dyDescent="0.2">
      <c r="A20" s="1" t="s">
        <v>355</v>
      </c>
      <c r="B20" s="2"/>
      <c r="C20" s="9" t="s">
        <v>356</v>
      </c>
      <c r="D20" s="9" t="s">
        <v>357</v>
      </c>
      <c r="E20" s="9" t="s">
        <v>358</v>
      </c>
      <c r="F20" s="1" t="s">
        <v>359</v>
      </c>
    </row>
    <row r="21" spans="1:6" ht="21.95" customHeight="1" x14ac:dyDescent="0.2">
      <c r="A21" s="5" t="s">
        <v>360</v>
      </c>
      <c r="B21" s="6"/>
      <c r="C21" s="7" t="s">
        <v>361</v>
      </c>
      <c r="D21" s="7" t="s">
        <v>362</v>
      </c>
      <c r="E21" s="7" t="s">
        <v>363</v>
      </c>
      <c r="F21" s="5" t="s">
        <v>364</v>
      </c>
    </row>
    <row r="22" spans="1:6" ht="21.95" customHeight="1" x14ac:dyDescent="0.2">
      <c r="A22" s="1" t="s">
        <v>365</v>
      </c>
      <c r="B22" s="2"/>
      <c r="C22" s="59" t="s">
        <v>366</v>
      </c>
      <c r="D22" s="59" t="s">
        <v>367</v>
      </c>
      <c r="E22" s="59" t="s">
        <v>368</v>
      </c>
      <c r="F22" s="1" t="s">
        <v>369</v>
      </c>
    </row>
  </sheetData>
  <mergeCells count="5">
    <mergeCell ref="A1:G1"/>
    <mergeCell ref="A4:G4"/>
    <mergeCell ref="A2:G2"/>
    <mergeCell ref="A15:G15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workbookViewId="0">
      <selection sqref="A1:G1"/>
    </sheetView>
  </sheetViews>
  <sheetFormatPr defaultRowHeight="14.25" x14ac:dyDescent="0.2"/>
  <cols>
    <col min="1" max="1" width="6" customWidth="1"/>
    <col min="2" max="2" width="46" customWidth="1"/>
    <col min="3" max="3" width="12" customWidth="1"/>
    <col min="4" max="4" width="16" customWidth="1"/>
    <col min="5" max="6" width="22" customWidth="1"/>
    <col min="7" max="7" width="24" customWidth="1"/>
  </cols>
  <sheetData>
    <row r="1" spans="1:7" ht="27.95" customHeight="1" x14ac:dyDescent="0.2">
      <c r="A1" s="98" t="s">
        <v>370</v>
      </c>
      <c r="B1" s="99"/>
      <c r="C1" s="99"/>
      <c r="D1" s="99"/>
      <c r="E1" s="99"/>
      <c r="F1" s="99"/>
      <c r="G1" s="99"/>
    </row>
    <row r="2" spans="1:7" ht="20.100000000000001" customHeight="1" x14ac:dyDescent="0.25">
      <c r="A2" s="101" t="s">
        <v>371</v>
      </c>
      <c r="B2" s="99"/>
      <c r="C2" s="99"/>
      <c r="D2" s="99"/>
      <c r="E2" s="99"/>
      <c r="F2" s="99"/>
      <c r="G2" s="99"/>
    </row>
    <row r="4" spans="1:7" ht="24" customHeight="1" x14ac:dyDescent="0.2">
      <c r="A4" s="100" t="s">
        <v>372</v>
      </c>
      <c r="B4" s="99"/>
      <c r="C4" s="99"/>
      <c r="D4" s="99"/>
      <c r="E4" s="99"/>
      <c r="F4" s="99"/>
      <c r="G4" s="99"/>
    </row>
    <row r="5" spans="1:7" ht="24" customHeight="1" x14ac:dyDescent="0.2">
      <c r="A5" s="10" t="s">
        <v>309</v>
      </c>
      <c r="B5" s="10" t="s">
        <v>373</v>
      </c>
      <c r="C5" s="10" t="s">
        <v>254</v>
      </c>
      <c r="D5" s="10" t="s">
        <v>255</v>
      </c>
      <c r="E5" s="10" t="s">
        <v>374</v>
      </c>
      <c r="F5" s="10" t="s">
        <v>375</v>
      </c>
      <c r="G5" s="10" t="s">
        <v>376</v>
      </c>
    </row>
    <row r="6" spans="1:7" ht="21.95" customHeight="1" x14ac:dyDescent="0.2">
      <c r="A6" s="9">
        <v>1</v>
      </c>
      <c r="B6" s="1" t="s">
        <v>377</v>
      </c>
      <c r="C6" s="9">
        <v>2</v>
      </c>
      <c r="D6" s="9" t="s">
        <v>261</v>
      </c>
      <c r="E6" s="36">
        <v>2000</v>
      </c>
      <c r="F6" s="36">
        <f>C6*E6</f>
        <v>4000</v>
      </c>
      <c r="G6" s="26">
        <f>F6*'03_Gia_dinh_Vi_mo'!$C$6/1000000</f>
        <v>103.52976</v>
      </c>
    </row>
    <row r="7" spans="1:7" ht="21.95" customHeight="1" x14ac:dyDescent="0.2">
      <c r="A7" s="9">
        <v>2</v>
      </c>
      <c r="B7" s="1" t="s">
        <v>378</v>
      </c>
      <c r="C7" s="9">
        <v>3</v>
      </c>
      <c r="D7" s="9" t="s">
        <v>265</v>
      </c>
      <c r="E7" s="60">
        <v>8000000</v>
      </c>
      <c r="F7" s="36">
        <f>C7*E7/'03_Gia_dinh_Vi_mo'!$C$7</f>
        <v>1071.309005691329</v>
      </c>
      <c r="G7" s="26">
        <f>F7*'03_Gia_dinh_Vi_mo'!$C$6/1000000</f>
        <v>27.728091061265481</v>
      </c>
    </row>
    <row r="8" spans="1:7" ht="21.95" customHeight="1" x14ac:dyDescent="0.2">
      <c r="A8" s="9">
        <v>3</v>
      </c>
      <c r="B8" s="1" t="s">
        <v>379</v>
      </c>
      <c r="C8" s="9">
        <v>1</v>
      </c>
      <c r="D8" s="9" t="s">
        <v>265</v>
      </c>
      <c r="E8" s="60">
        <v>8000000</v>
      </c>
      <c r="F8" s="36">
        <f>C8*E8/'03_Gia_dinh_Vi_mo'!$C$7</f>
        <v>357.10300189710972</v>
      </c>
      <c r="G8" s="26">
        <f>F8*'03_Gia_dinh_Vi_mo'!$C$6/1000000</f>
        <v>9.2426970204218275</v>
      </c>
    </row>
    <row r="9" spans="1:7" ht="21.95" customHeight="1" x14ac:dyDescent="0.2">
      <c r="A9" s="9">
        <v>4</v>
      </c>
      <c r="B9" s="1" t="s">
        <v>380</v>
      </c>
      <c r="C9" s="9">
        <v>1</v>
      </c>
      <c r="D9" s="9" t="s">
        <v>265</v>
      </c>
      <c r="E9" s="60">
        <v>8000000</v>
      </c>
      <c r="F9" s="36">
        <f>C9*E9/'03_Gia_dinh_Vi_mo'!$C$7</f>
        <v>357.10300189710972</v>
      </c>
      <c r="G9" s="26">
        <f>F9*'03_Gia_dinh_Vi_mo'!$C$6/1000000</f>
        <v>9.2426970204218275</v>
      </c>
    </row>
    <row r="10" spans="1:7" ht="21.95" customHeight="1" x14ac:dyDescent="0.2">
      <c r="A10" s="9">
        <v>5</v>
      </c>
      <c r="B10" s="1" t="s">
        <v>381</v>
      </c>
      <c r="C10" s="9">
        <v>1</v>
      </c>
      <c r="D10" s="9" t="s">
        <v>265</v>
      </c>
      <c r="E10" s="60">
        <v>15000000</v>
      </c>
      <c r="F10" s="36">
        <f>C10*E10/'03_Gia_dinh_Vi_mo'!$C$7</f>
        <v>669.56812855708063</v>
      </c>
      <c r="G10" s="26">
        <f>F10*'03_Gia_dinh_Vi_mo'!$C$6/1000000</f>
        <v>17.330056913290925</v>
      </c>
    </row>
    <row r="11" spans="1:7" ht="21.95" customHeight="1" x14ac:dyDescent="0.2">
      <c r="A11" s="9">
        <v>6</v>
      </c>
      <c r="B11" s="1" t="s">
        <v>382</v>
      </c>
      <c r="C11" s="9">
        <v>1</v>
      </c>
      <c r="D11" s="9" t="s">
        <v>261</v>
      </c>
      <c r="E11" s="36">
        <v>387.3</v>
      </c>
      <c r="F11" s="36">
        <f>C11*E11</f>
        <v>387.3</v>
      </c>
      <c r="G11" s="26">
        <f>F11*'03_Gia_dinh_Vi_mo'!$C$6/1000000</f>
        <v>10.024269012</v>
      </c>
    </row>
    <row r="12" spans="1:7" ht="24" customHeight="1" x14ac:dyDescent="0.2">
      <c r="A12" s="112" t="s">
        <v>383</v>
      </c>
      <c r="B12" s="113"/>
      <c r="C12" s="24">
        <f>SUM(C6:C10)</f>
        <v>8</v>
      </c>
      <c r="D12" s="61" t="s">
        <v>384</v>
      </c>
      <c r="E12" s="57"/>
      <c r="F12" s="62">
        <f>SUM(F6:F11)</f>
        <v>6842.3831380426291</v>
      </c>
      <c r="G12" s="63">
        <f>SUM(G6:G11)</f>
        <v>177.09757102740002</v>
      </c>
    </row>
    <row r="14" spans="1:7" ht="24" customHeight="1" x14ac:dyDescent="0.2">
      <c r="A14" s="100" t="s">
        <v>385</v>
      </c>
      <c r="B14" s="99"/>
      <c r="C14" s="99"/>
      <c r="D14" s="99"/>
      <c r="E14" s="99"/>
      <c r="F14" s="99"/>
      <c r="G14" s="99"/>
    </row>
    <row r="15" spans="1:7" ht="24" customHeight="1" x14ac:dyDescent="0.2">
      <c r="A15" s="10" t="s">
        <v>309</v>
      </c>
      <c r="B15" s="10" t="s">
        <v>386</v>
      </c>
      <c r="C15" s="10" t="s">
        <v>254</v>
      </c>
      <c r="D15" s="10" t="s">
        <v>387</v>
      </c>
      <c r="E15" s="10" t="s">
        <v>388</v>
      </c>
      <c r="F15" s="10" t="s">
        <v>375</v>
      </c>
      <c r="G15" s="10" t="s">
        <v>376</v>
      </c>
    </row>
    <row r="16" spans="1:7" ht="21.95" customHeight="1" x14ac:dyDescent="0.2">
      <c r="A16" s="9">
        <v>1</v>
      </c>
      <c r="B16" s="1" t="s">
        <v>389</v>
      </c>
      <c r="C16" s="9">
        <v>100</v>
      </c>
      <c r="D16" s="9" t="s">
        <v>390</v>
      </c>
      <c r="E16" s="36">
        <v>5</v>
      </c>
      <c r="F16" s="36">
        <f>C16*E16</f>
        <v>500</v>
      </c>
      <c r="G16" s="26">
        <f>F16*'03_Gia_dinh_Vi_mo'!$C$6/1000000</f>
        <v>12.94122</v>
      </c>
    </row>
    <row r="17" spans="1:7" ht="21.95" customHeight="1" x14ac:dyDescent="0.2">
      <c r="A17" s="9">
        <v>2</v>
      </c>
      <c r="B17" s="1" t="s">
        <v>391</v>
      </c>
      <c r="C17" s="9">
        <v>1</v>
      </c>
      <c r="D17" s="9" t="s">
        <v>154</v>
      </c>
      <c r="E17" s="36">
        <v>400</v>
      </c>
      <c r="F17" s="36">
        <f>C17*E17</f>
        <v>400</v>
      </c>
      <c r="G17" s="26">
        <f>F17*'03_Gia_dinh_Vi_mo'!$C$6/1000000</f>
        <v>10.352976</v>
      </c>
    </row>
    <row r="18" spans="1:7" ht="21.95" customHeight="1" x14ac:dyDescent="0.2">
      <c r="A18" s="9">
        <v>3</v>
      </c>
      <c r="B18" s="1" t="s">
        <v>392</v>
      </c>
      <c r="C18" s="9">
        <v>1</v>
      </c>
      <c r="D18" s="9" t="s">
        <v>154</v>
      </c>
      <c r="E18" s="36">
        <v>5000</v>
      </c>
      <c r="F18" s="36">
        <f>C18*E18</f>
        <v>5000</v>
      </c>
      <c r="G18" s="26">
        <f>F18*'03_Gia_dinh_Vi_mo'!$C$6/1000000</f>
        <v>129.41220000000001</v>
      </c>
    </row>
    <row r="19" spans="1:7" ht="21.95" customHeight="1" x14ac:dyDescent="0.2">
      <c r="A19" s="9">
        <v>4</v>
      </c>
      <c r="B19" s="1" t="s">
        <v>393</v>
      </c>
      <c r="C19" s="9">
        <v>1</v>
      </c>
      <c r="D19" s="9" t="s">
        <v>154</v>
      </c>
      <c r="E19" s="36">
        <v>300</v>
      </c>
      <c r="F19" s="36">
        <f>C19*E19</f>
        <v>300</v>
      </c>
      <c r="G19" s="26">
        <f>F19*'03_Gia_dinh_Vi_mo'!$C$6/1000000</f>
        <v>7.7647320000000004</v>
      </c>
    </row>
    <row r="20" spans="1:7" ht="21.95" customHeight="1" x14ac:dyDescent="0.2">
      <c r="A20" s="9">
        <v>5</v>
      </c>
      <c r="B20" s="1" t="s">
        <v>394</v>
      </c>
      <c r="C20" s="9">
        <v>1</v>
      </c>
      <c r="D20" s="9" t="s">
        <v>154</v>
      </c>
      <c r="E20" s="36">
        <v>300</v>
      </c>
      <c r="F20" s="36">
        <f>C20*E20</f>
        <v>300</v>
      </c>
      <c r="G20" s="26">
        <f>F20*'03_Gia_dinh_Vi_mo'!$C$6/1000000</f>
        <v>7.7647320000000004</v>
      </c>
    </row>
    <row r="21" spans="1:7" ht="24" customHeight="1" x14ac:dyDescent="0.2">
      <c r="A21" s="112" t="s">
        <v>395</v>
      </c>
      <c r="B21" s="113"/>
      <c r="C21" s="113"/>
      <c r="D21" s="113"/>
      <c r="E21" s="113"/>
      <c r="F21" s="62">
        <f>SUM(F16:F20)</f>
        <v>6500</v>
      </c>
      <c r="G21" s="63">
        <f>SUM(G16:G20)</f>
        <v>168.23586000000003</v>
      </c>
    </row>
    <row r="23" spans="1:7" ht="26.1" customHeight="1" x14ac:dyDescent="0.2">
      <c r="A23" s="114" t="s">
        <v>396</v>
      </c>
      <c r="B23" s="113"/>
      <c r="C23" s="113"/>
      <c r="D23" s="113"/>
      <c r="E23" s="113"/>
      <c r="F23" s="51">
        <f>F12+F21</f>
        <v>13342.383138042629</v>
      </c>
      <c r="G23" s="52">
        <f>G12+G21</f>
        <v>345.33343102740002</v>
      </c>
    </row>
  </sheetData>
  <mergeCells count="7">
    <mergeCell ref="A23:E23"/>
    <mergeCell ref="A12:B12"/>
    <mergeCell ref="A21:E21"/>
    <mergeCell ref="A14:G14"/>
    <mergeCell ref="A1:G1"/>
    <mergeCell ref="A4:G4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topLeftCell="A24" workbookViewId="0">
      <selection sqref="A1:H1"/>
    </sheetView>
  </sheetViews>
  <sheetFormatPr defaultRowHeight="14.25" x14ac:dyDescent="0.2"/>
  <cols>
    <col min="1" max="1" width="8" customWidth="1"/>
    <col min="2" max="2" width="48" customWidth="1"/>
    <col min="3" max="3" width="10" customWidth="1"/>
    <col min="4" max="4" width="12" customWidth="1"/>
    <col min="5" max="5" width="16" customWidth="1"/>
    <col min="6" max="6" width="18" customWidth="1"/>
    <col min="7" max="7" width="22" customWidth="1"/>
    <col min="8" max="8" width="16" customWidth="1"/>
  </cols>
  <sheetData>
    <row r="1" spans="1:8" ht="27.95" customHeight="1" x14ac:dyDescent="0.2">
      <c r="A1" s="98" t="s">
        <v>397</v>
      </c>
      <c r="B1" s="99"/>
      <c r="C1" s="99"/>
      <c r="D1" s="99"/>
      <c r="E1" s="99"/>
      <c r="F1" s="99"/>
      <c r="G1" s="99"/>
      <c r="H1" s="99"/>
    </row>
    <row r="2" spans="1:8" ht="20.100000000000001" customHeight="1" x14ac:dyDescent="0.25">
      <c r="A2" s="101" t="s">
        <v>398</v>
      </c>
      <c r="B2" s="99"/>
      <c r="C2" s="99"/>
      <c r="D2" s="99"/>
      <c r="E2" s="99"/>
      <c r="F2" s="99"/>
      <c r="G2" s="99"/>
      <c r="H2" s="99"/>
    </row>
    <row r="4" spans="1:8" ht="26.1" customHeight="1" x14ac:dyDescent="0.2">
      <c r="A4" s="10" t="s">
        <v>179</v>
      </c>
      <c r="B4" s="10" t="s">
        <v>399</v>
      </c>
      <c r="C4" s="10" t="s">
        <v>254</v>
      </c>
      <c r="D4" s="10" t="s">
        <v>182</v>
      </c>
      <c r="E4" s="10" t="s">
        <v>388</v>
      </c>
      <c r="F4" s="10" t="s">
        <v>400</v>
      </c>
      <c r="G4" s="10" t="s">
        <v>257</v>
      </c>
      <c r="H4" s="10" t="s">
        <v>401</v>
      </c>
    </row>
    <row r="5" spans="1:8" ht="20.100000000000001" customHeight="1" x14ac:dyDescent="0.2">
      <c r="A5" s="64" t="s">
        <v>402</v>
      </c>
      <c r="B5" s="65" t="s">
        <v>403</v>
      </c>
      <c r="C5" s="64">
        <v>1</v>
      </c>
      <c r="D5" s="64" t="s">
        <v>404</v>
      </c>
      <c r="E5" s="66">
        <v>5000</v>
      </c>
      <c r="F5" s="66">
        <f t="shared" ref="F5:F26" si="0">C5*E5</f>
        <v>5000</v>
      </c>
      <c r="G5" s="67">
        <f>F5*'03_Gia_dinh_Vi_mo'!$C$6/1000000</f>
        <v>129.41220000000001</v>
      </c>
      <c r="H5" s="68" t="s">
        <v>405</v>
      </c>
    </row>
    <row r="6" spans="1:8" ht="20.100000000000001" customHeight="1" x14ac:dyDescent="0.2">
      <c r="A6" s="53" t="s">
        <v>406</v>
      </c>
      <c r="B6" s="69" t="s">
        <v>407</v>
      </c>
      <c r="C6" s="53">
        <v>1</v>
      </c>
      <c r="D6" s="53" t="s">
        <v>404</v>
      </c>
      <c r="E6" s="70">
        <v>3000</v>
      </c>
      <c r="F6" s="70">
        <f t="shared" si="0"/>
        <v>3000</v>
      </c>
      <c r="G6" s="71">
        <f>F6*'03_Gia_dinh_Vi_mo'!$C$6/1000000</f>
        <v>77.647319999999993</v>
      </c>
      <c r="H6" s="72" t="s">
        <v>408</v>
      </c>
    </row>
    <row r="7" spans="1:8" ht="20.100000000000001" customHeight="1" x14ac:dyDescent="0.2">
      <c r="A7" s="64" t="s">
        <v>409</v>
      </c>
      <c r="B7" s="65" t="s">
        <v>410</v>
      </c>
      <c r="C7" s="64">
        <v>12</v>
      </c>
      <c r="D7" s="64" t="s">
        <v>154</v>
      </c>
      <c r="E7" s="66">
        <v>500</v>
      </c>
      <c r="F7" s="66">
        <f t="shared" si="0"/>
        <v>6000</v>
      </c>
      <c r="G7" s="67">
        <f>F7*'03_Gia_dinh_Vi_mo'!$C$6/1000000</f>
        <v>155.29463999999999</v>
      </c>
      <c r="H7" s="73" t="s">
        <v>408</v>
      </c>
    </row>
    <row r="8" spans="1:8" ht="20.100000000000001" customHeight="1" x14ac:dyDescent="0.2">
      <c r="A8" s="53" t="s">
        <v>411</v>
      </c>
      <c r="B8" s="69" t="s">
        <v>412</v>
      </c>
      <c r="C8" s="53">
        <v>100</v>
      </c>
      <c r="D8" s="53" t="s">
        <v>390</v>
      </c>
      <c r="E8" s="70">
        <v>10</v>
      </c>
      <c r="F8" s="70">
        <f t="shared" si="0"/>
        <v>1000</v>
      </c>
      <c r="G8" s="71">
        <f>F8*'03_Gia_dinh_Vi_mo'!$C$6/1000000</f>
        <v>25.882439999999999</v>
      </c>
      <c r="H8" s="74" t="s">
        <v>405</v>
      </c>
    </row>
    <row r="9" spans="1:8" ht="20.100000000000001" customHeight="1" x14ac:dyDescent="0.2">
      <c r="A9" s="64" t="s">
        <v>413</v>
      </c>
      <c r="B9" s="65" t="s">
        <v>414</v>
      </c>
      <c r="C9" s="64">
        <v>100</v>
      </c>
      <c r="D9" s="64" t="s">
        <v>390</v>
      </c>
      <c r="E9" s="66">
        <v>20</v>
      </c>
      <c r="F9" s="66">
        <f t="shared" si="0"/>
        <v>2000</v>
      </c>
      <c r="G9" s="67">
        <f>F9*'03_Gia_dinh_Vi_mo'!$C$6/1000000</f>
        <v>51.764879999999998</v>
      </c>
      <c r="H9" s="68" t="s">
        <v>405</v>
      </c>
    </row>
    <row r="10" spans="1:8" ht="20.100000000000001" customHeight="1" x14ac:dyDescent="0.2">
      <c r="A10" s="53" t="s">
        <v>415</v>
      </c>
      <c r="B10" s="69" t="s">
        <v>416</v>
      </c>
      <c r="C10" s="53">
        <v>3</v>
      </c>
      <c r="D10" s="53" t="s">
        <v>417</v>
      </c>
      <c r="E10" s="70">
        <v>3000</v>
      </c>
      <c r="F10" s="70">
        <f t="shared" si="0"/>
        <v>9000</v>
      </c>
      <c r="G10" s="71">
        <f>F10*'03_Gia_dinh_Vi_mo'!$C$6/1000000</f>
        <v>232.94195999999999</v>
      </c>
      <c r="H10" s="74" t="s">
        <v>405</v>
      </c>
    </row>
    <row r="11" spans="1:8" ht="20.100000000000001" customHeight="1" x14ac:dyDescent="0.2">
      <c r="A11" s="64" t="s">
        <v>418</v>
      </c>
      <c r="B11" s="65" t="s">
        <v>419</v>
      </c>
      <c r="C11" s="64">
        <v>1</v>
      </c>
      <c r="D11" s="64" t="s">
        <v>420</v>
      </c>
      <c r="E11" s="66">
        <v>1000</v>
      </c>
      <c r="F11" s="66">
        <f t="shared" si="0"/>
        <v>1000</v>
      </c>
      <c r="G11" s="67">
        <f>F11*'03_Gia_dinh_Vi_mo'!$C$6/1000000</f>
        <v>25.882439999999999</v>
      </c>
      <c r="H11" s="68" t="s">
        <v>405</v>
      </c>
    </row>
    <row r="12" spans="1:8" ht="20.100000000000001" customHeight="1" x14ac:dyDescent="0.2">
      <c r="A12" s="53" t="s">
        <v>421</v>
      </c>
      <c r="B12" s="69" t="s">
        <v>422</v>
      </c>
      <c r="C12" s="53">
        <v>1</v>
      </c>
      <c r="D12" s="53" t="s">
        <v>423</v>
      </c>
      <c r="E12" s="70">
        <v>2000</v>
      </c>
      <c r="F12" s="70">
        <f t="shared" si="0"/>
        <v>2000</v>
      </c>
      <c r="G12" s="71">
        <f>F12*'03_Gia_dinh_Vi_mo'!$C$6/1000000</f>
        <v>51.764879999999998</v>
      </c>
      <c r="H12" s="74" t="s">
        <v>405</v>
      </c>
    </row>
    <row r="13" spans="1:8" ht="20.100000000000001" customHeight="1" x14ac:dyDescent="0.2">
      <c r="A13" s="64" t="s">
        <v>424</v>
      </c>
      <c r="B13" s="65" t="s">
        <v>425</v>
      </c>
      <c r="C13" s="64">
        <v>1</v>
      </c>
      <c r="D13" s="64" t="s">
        <v>420</v>
      </c>
      <c r="E13" s="66">
        <v>40000</v>
      </c>
      <c r="F13" s="66">
        <f t="shared" si="0"/>
        <v>40000</v>
      </c>
      <c r="G13" s="67">
        <f>F13*'03_Gia_dinh_Vi_mo'!$C$6/1000000</f>
        <v>1035.2976000000001</v>
      </c>
      <c r="H13" s="68" t="s">
        <v>405</v>
      </c>
    </row>
    <row r="14" spans="1:8" ht="20.100000000000001" customHeight="1" x14ac:dyDescent="0.2">
      <c r="A14" s="53" t="s">
        <v>426</v>
      </c>
      <c r="B14" s="69" t="s">
        <v>427</v>
      </c>
      <c r="C14" s="53">
        <v>1</v>
      </c>
      <c r="D14" s="53" t="s">
        <v>417</v>
      </c>
      <c r="E14" s="70">
        <v>2000</v>
      </c>
      <c r="F14" s="70">
        <f t="shared" si="0"/>
        <v>2000</v>
      </c>
      <c r="G14" s="71">
        <f>F14*'03_Gia_dinh_Vi_mo'!$C$6/1000000</f>
        <v>51.764879999999998</v>
      </c>
      <c r="H14" s="74" t="s">
        <v>405</v>
      </c>
    </row>
    <row r="15" spans="1:8" ht="20.100000000000001" customHeight="1" x14ac:dyDescent="0.2">
      <c r="A15" s="64" t="s">
        <v>428</v>
      </c>
      <c r="B15" s="65" t="s">
        <v>429</v>
      </c>
      <c r="C15" s="64">
        <v>1</v>
      </c>
      <c r="D15" s="64" t="s">
        <v>417</v>
      </c>
      <c r="E15" s="66">
        <v>2500</v>
      </c>
      <c r="F15" s="66">
        <f t="shared" si="0"/>
        <v>2500</v>
      </c>
      <c r="G15" s="67">
        <f>F15*'03_Gia_dinh_Vi_mo'!$C$6/1000000</f>
        <v>64.706100000000006</v>
      </c>
      <c r="H15" s="68" t="s">
        <v>405</v>
      </c>
    </row>
    <row r="16" spans="1:8" ht="20.100000000000001" customHeight="1" x14ac:dyDescent="0.2">
      <c r="A16" s="53" t="s">
        <v>430</v>
      </c>
      <c r="B16" s="69" t="s">
        <v>431</v>
      </c>
      <c r="C16" s="53">
        <v>2</v>
      </c>
      <c r="D16" s="53" t="s">
        <v>423</v>
      </c>
      <c r="E16" s="70">
        <v>300</v>
      </c>
      <c r="F16" s="70">
        <f t="shared" si="0"/>
        <v>600</v>
      </c>
      <c r="G16" s="71">
        <f>F16*'03_Gia_dinh_Vi_mo'!$C$6/1000000</f>
        <v>15.529464000000001</v>
      </c>
      <c r="H16" s="74" t="s">
        <v>405</v>
      </c>
    </row>
    <row r="17" spans="1:8" ht="20.100000000000001" customHeight="1" x14ac:dyDescent="0.2">
      <c r="A17" s="64" t="s">
        <v>432</v>
      </c>
      <c r="B17" s="65" t="s">
        <v>433</v>
      </c>
      <c r="C17" s="64">
        <v>1</v>
      </c>
      <c r="D17" s="64" t="s">
        <v>434</v>
      </c>
      <c r="E17" s="66">
        <v>1000</v>
      </c>
      <c r="F17" s="66">
        <f t="shared" si="0"/>
        <v>1000</v>
      </c>
      <c r="G17" s="67">
        <f>F17*'03_Gia_dinh_Vi_mo'!$C$6/1000000</f>
        <v>25.882439999999999</v>
      </c>
      <c r="H17" s="68" t="s">
        <v>405</v>
      </c>
    </row>
    <row r="18" spans="1:8" ht="20.100000000000001" customHeight="1" x14ac:dyDescent="0.2">
      <c r="A18" s="53" t="s">
        <v>435</v>
      </c>
      <c r="B18" s="69" t="s">
        <v>436</v>
      </c>
      <c r="C18" s="53">
        <v>3</v>
      </c>
      <c r="D18" s="53" t="s">
        <v>417</v>
      </c>
      <c r="E18" s="70">
        <v>700</v>
      </c>
      <c r="F18" s="70">
        <f t="shared" si="0"/>
        <v>2100</v>
      </c>
      <c r="G18" s="71">
        <f>F18*'03_Gia_dinh_Vi_mo'!$C$6/1000000</f>
        <v>54.353124000000001</v>
      </c>
      <c r="H18" s="74" t="s">
        <v>405</v>
      </c>
    </row>
    <row r="19" spans="1:8" ht="20.100000000000001" customHeight="1" x14ac:dyDescent="0.2">
      <c r="A19" s="64" t="s">
        <v>437</v>
      </c>
      <c r="B19" s="65" t="s">
        <v>438</v>
      </c>
      <c r="C19" s="64">
        <v>1</v>
      </c>
      <c r="D19" s="64" t="s">
        <v>439</v>
      </c>
      <c r="E19" s="66">
        <v>1500</v>
      </c>
      <c r="F19" s="66">
        <f t="shared" si="0"/>
        <v>1500</v>
      </c>
      <c r="G19" s="67">
        <f>F19*'03_Gia_dinh_Vi_mo'!$C$6/1000000</f>
        <v>38.823659999999997</v>
      </c>
      <c r="H19" s="68" t="s">
        <v>405</v>
      </c>
    </row>
    <row r="20" spans="1:8" ht="20.100000000000001" customHeight="1" x14ac:dyDescent="0.2">
      <c r="A20" s="53" t="s">
        <v>440</v>
      </c>
      <c r="B20" s="69" t="s">
        <v>441</v>
      </c>
      <c r="C20" s="53">
        <v>1</v>
      </c>
      <c r="D20" s="53" t="s">
        <v>420</v>
      </c>
      <c r="E20" s="70">
        <v>2500</v>
      </c>
      <c r="F20" s="70">
        <f t="shared" si="0"/>
        <v>2500</v>
      </c>
      <c r="G20" s="71">
        <f>F20*'03_Gia_dinh_Vi_mo'!$C$6/1000000</f>
        <v>64.706100000000006</v>
      </c>
      <c r="H20" s="74" t="s">
        <v>405</v>
      </c>
    </row>
    <row r="21" spans="1:8" ht="20.100000000000001" customHeight="1" x14ac:dyDescent="0.2">
      <c r="A21" s="64" t="s">
        <v>442</v>
      </c>
      <c r="B21" s="65" t="s">
        <v>443</v>
      </c>
      <c r="C21" s="64">
        <v>1</v>
      </c>
      <c r="D21" s="64" t="s">
        <v>404</v>
      </c>
      <c r="E21" s="66">
        <v>2500</v>
      </c>
      <c r="F21" s="66">
        <f t="shared" si="0"/>
        <v>2500</v>
      </c>
      <c r="G21" s="67">
        <f>F21*'03_Gia_dinh_Vi_mo'!$C$6/1000000</f>
        <v>64.706100000000006</v>
      </c>
      <c r="H21" s="68" t="s">
        <v>405</v>
      </c>
    </row>
    <row r="22" spans="1:8" ht="20.100000000000001" customHeight="1" x14ac:dyDescent="0.2">
      <c r="A22" s="53" t="s">
        <v>444</v>
      </c>
      <c r="B22" s="69" t="s">
        <v>445</v>
      </c>
      <c r="C22" s="53">
        <v>1</v>
      </c>
      <c r="D22" s="53" t="s">
        <v>446</v>
      </c>
      <c r="E22" s="70">
        <v>5000</v>
      </c>
      <c r="F22" s="70">
        <f t="shared" si="0"/>
        <v>5000</v>
      </c>
      <c r="G22" s="71">
        <f>F22*'03_Gia_dinh_Vi_mo'!$C$6/1000000</f>
        <v>129.41220000000001</v>
      </c>
      <c r="H22" s="74" t="s">
        <v>405</v>
      </c>
    </row>
    <row r="23" spans="1:8" ht="20.100000000000001" customHeight="1" x14ac:dyDescent="0.2">
      <c r="A23" s="64" t="s">
        <v>447</v>
      </c>
      <c r="B23" s="65" t="s">
        <v>448</v>
      </c>
      <c r="C23" s="64">
        <v>1</v>
      </c>
      <c r="D23" s="64" t="s">
        <v>404</v>
      </c>
      <c r="E23" s="66">
        <v>3000</v>
      </c>
      <c r="F23" s="66">
        <f t="shared" si="0"/>
        <v>3000</v>
      </c>
      <c r="G23" s="67">
        <f>F23*'03_Gia_dinh_Vi_mo'!$C$6/1000000</f>
        <v>77.647319999999993</v>
      </c>
      <c r="H23" s="68" t="s">
        <v>405</v>
      </c>
    </row>
    <row r="24" spans="1:8" ht="20.100000000000001" customHeight="1" x14ac:dyDescent="0.2">
      <c r="A24" s="53" t="s">
        <v>449</v>
      </c>
      <c r="B24" s="69" t="s">
        <v>450</v>
      </c>
      <c r="C24" s="53">
        <v>1</v>
      </c>
      <c r="D24" s="53" t="s">
        <v>154</v>
      </c>
      <c r="E24" s="70">
        <v>6455.08</v>
      </c>
      <c r="F24" s="70">
        <f t="shared" si="0"/>
        <v>6455.08</v>
      </c>
      <c r="G24" s="71">
        <f>F24*'03_Gia_dinh_Vi_mo'!$C$6/1000000</f>
        <v>167.0732207952</v>
      </c>
      <c r="H24" s="72" t="s">
        <v>408</v>
      </c>
    </row>
    <row r="25" spans="1:8" ht="20.100000000000001" customHeight="1" x14ac:dyDescent="0.2">
      <c r="A25" s="64" t="s">
        <v>451</v>
      </c>
      <c r="B25" s="65" t="s">
        <v>452</v>
      </c>
      <c r="C25" s="64">
        <v>1</v>
      </c>
      <c r="D25" s="64" t="s">
        <v>453</v>
      </c>
      <c r="E25" s="66">
        <v>16018.39</v>
      </c>
      <c r="F25" s="66">
        <f t="shared" si="0"/>
        <v>16018.39</v>
      </c>
      <c r="G25" s="67">
        <f>F25*'03_Gia_dinh_Vi_mo'!$C$6/1000000</f>
        <v>414.59501807159995</v>
      </c>
      <c r="H25" s="73" t="s">
        <v>408</v>
      </c>
    </row>
    <row r="26" spans="1:8" ht="20.100000000000001" customHeight="1" x14ac:dyDescent="0.2">
      <c r="A26" s="53" t="s">
        <v>454</v>
      </c>
      <c r="B26" s="69" t="s">
        <v>455</v>
      </c>
      <c r="C26" s="53">
        <v>1</v>
      </c>
      <c r="D26" s="53" t="s">
        <v>453</v>
      </c>
      <c r="E26" s="70">
        <v>11624.79</v>
      </c>
      <c r="F26" s="70">
        <f t="shared" si="0"/>
        <v>11624.79</v>
      </c>
      <c r="G26" s="71">
        <f>F26*'03_Gia_dinh_Vi_mo'!$C$6/1000000</f>
        <v>300.87792968760004</v>
      </c>
      <c r="H26" s="72" t="s">
        <v>408</v>
      </c>
    </row>
    <row r="27" spans="1:8" ht="24.95" customHeight="1" x14ac:dyDescent="0.2">
      <c r="A27" s="112" t="s">
        <v>456</v>
      </c>
      <c r="B27" s="113"/>
      <c r="C27" s="113"/>
      <c r="D27" s="113"/>
      <c r="E27" s="57"/>
      <c r="F27" s="51">
        <f>SUM(F5:F26)</f>
        <v>125798.26000000001</v>
      </c>
      <c r="G27" s="52">
        <f>SUM(G5:G26)</f>
        <v>3255.9659165544003</v>
      </c>
      <c r="H27" s="61" t="s">
        <v>457</v>
      </c>
    </row>
    <row r="28" spans="1:8" ht="21.95" customHeight="1" x14ac:dyDescent="0.2">
      <c r="A28" s="115" t="s">
        <v>458</v>
      </c>
      <c r="B28" s="116"/>
      <c r="C28" s="116"/>
      <c r="D28" s="116"/>
      <c r="E28" s="75"/>
      <c r="F28" s="76">
        <f>F5+F8+F9+F10+F11+F12+F13+F14+F15+F16+F17+F18+F19+F20+F21+F22+F23</f>
        <v>82700</v>
      </c>
      <c r="G28" s="77">
        <f>G5+G8+G9+G10+G11+G12+G13+G14+G15+G16+G17+G18+G19+G20+G21+G22+G23</f>
        <v>2140.4777880000006</v>
      </c>
      <c r="H28" s="78" t="s">
        <v>459</v>
      </c>
    </row>
    <row r="31" spans="1:8" x14ac:dyDescent="0.2">
      <c r="F31">
        <f>F27</f>
        <v>125798.26000000001</v>
      </c>
      <c r="G31">
        <f>G27</f>
        <v>3255.9659165544003</v>
      </c>
    </row>
    <row r="32" spans="1:8" x14ac:dyDescent="0.2">
      <c r="F32">
        <f>F28</f>
        <v>82700</v>
      </c>
      <c r="G32">
        <f>G28</f>
        <v>2140.4777880000006</v>
      </c>
    </row>
  </sheetData>
  <mergeCells count="4">
    <mergeCell ref="A27:D27"/>
    <mergeCell ref="A28:D28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68"/>
  <sheetViews>
    <sheetView topLeftCell="A9" workbookViewId="0">
      <selection sqref="A1:AM1"/>
    </sheetView>
  </sheetViews>
  <sheetFormatPr defaultRowHeight="14.25" x14ac:dyDescent="0.2"/>
  <cols>
    <col min="1" max="2" width="8" customWidth="1"/>
    <col min="3" max="6" width="10" customWidth="1"/>
    <col min="7" max="39" width="15" customWidth="1"/>
  </cols>
  <sheetData>
    <row r="1" spans="1:39" ht="27.95" customHeight="1" x14ac:dyDescent="0.2">
      <c r="A1" s="98" t="s">
        <v>460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</row>
    <row r="2" spans="1:39" ht="20.100000000000001" customHeight="1" x14ac:dyDescent="0.25">
      <c r="A2" s="101" t="s">
        <v>461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</row>
    <row r="3" spans="1:39" ht="20.100000000000001" customHeight="1" x14ac:dyDescent="0.2">
      <c r="A3" s="121" t="s">
        <v>462</v>
      </c>
      <c r="B3" s="99"/>
      <c r="C3" s="99"/>
      <c r="D3" s="99"/>
      <c r="E3" s="99"/>
      <c r="F3" s="99"/>
      <c r="G3" s="117" t="s">
        <v>463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124" t="s">
        <v>464</v>
      </c>
      <c r="S3" s="99"/>
      <c r="T3" s="99"/>
      <c r="U3" s="99"/>
      <c r="V3" s="99"/>
      <c r="W3" s="99"/>
      <c r="X3" s="99"/>
      <c r="Y3" s="99"/>
      <c r="Z3" s="99"/>
      <c r="AA3" s="99"/>
      <c r="AB3" s="99"/>
      <c r="AC3" s="118" t="s">
        <v>465</v>
      </c>
      <c r="AD3" s="99"/>
      <c r="AE3" s="99"/>
      <c r="AF3" s="99"/>
      <c r="AG3" s="99"/>
      <c r="AH3" s="99"/>
      <c r="AI3" s="99"/>
      <c r="AJ3" s="99"/>
      <c r="AK3" s="99"/>
      <c r="AL3" s="99"/>
      <c r="AM3" s="99"/>
    </row>
    <row r="4" spans="1:39" ht="24" customHeight="1" x14ac:dyDescent="0.2">
      <c r="A4" s="3" t="s">
        <v>154</v>
      </c>
      <c r="B4" s="3" t="s">
        <v>466</v>
      </c>
      <c r="C4" s="3" t="s">
        <v>467</v>
      </c>
      <c r="D4" s="3" t="s">
        <v>468</v>
      </c>
      <c r="E4" s="3" t="s">
        <v>469</v>
      </c>
      <c r="F4" s="3" t="s">
        <v>470</v>
      </c>
      <c r="G4" s="17" t="s">
        <v>471</v>
      </c>
      <c r="H4" s="17" t="s">
        <v>472</v>
      </c>
      <c r="I4" s="17" t="s">
        <v>473</v>
      </c>
      <c r="J4" s="17" t="s">
        <v>474</v>
      </c>
      <c r="K4" s="17" t="s">
        <v>475</v>
      </c>
      <c r="L4" s="17" t="s">
        <v>476</v>
      </c>
      <c r="M4" s="17" t="s">
        <v>477</v>
      </c>
      <c r="N4" s="17" t="s">
        <v>478</v>
      </c>
      <c r="O4" s="17" t="s">
        <v>479</v>
      </c>
      <c r="P4" s="17" t="s">
        <v>480</v>
      </c>
      <c r="Q4" s="17" t="s">
        <v>481</v>
      </c>
      <c r="R4" s="18" t="s">
        <v>471</v>
      </c>
      <c r="S4" s="18" t="s">
        <v>472</v>
      </c>
      <c r="T4" s="18" t="s">
        <v>473</v>
      </c>
      <c r="U4" s="18" t="s">
        <v>474</v>
      </c>
      <c r="V4" s="18" t="s">
        <v>475</v>
      </c>
      <c r="W4" s="18" t="s">
        <v>476</v>
      </c>
      <c r="X4" s="18" t="s">
        <v>477</v>
      </c>
      <c r="Y4" s="18" t="s">
        <v>478</v>
      </c>
      <c r="Z4" s="18" t="s">
        <v>479</v>
      </c>
      <c r="AA4" s="18" t="s">
        <v>480</v>
      </c>
      <c r="AB4" s="18" t="s">
        <v>481</v>
      </c>
      <c r="AC4" s="19" t="s">
        <v>471</v>
      </c>
      <c r="AD4" s="19" t="s">
        <v>472</v>
      </c>
      <c r="AE4" s="19" t="s">
        <v>473</v>
      </c>
      <c r="AF4" s="19" t="s">
        <v>474</v>
      </c>
      <c r="AG4" s="19" t="s">
        <v>475</v>
      </c>
      <c r="AH4" s="19" t="s">
        <v>476</v>
      </c>
      <c r="AI4" s="19" t="s">
        <v>477</v>
      </c>
      <c r="AJ4" s="19" t="s">
        <v>478</v>
      </c>
      <c r="AK4" s="19" t="s">
        <v>479</v>
      </c>
      <c r="AL4" s="19" t="s">
        <v>480</v>
      </c>
      <c r="AM4" s="19" t="s">
        <v>481</v>
      </c>
    </row>
    <row r="5" spans="1:39" ht="20.100000000000001" customHeight="1" x14ac:dyDescent="0.25">
      <c r="A5" s="4">
        <v>0</v>
      </c>
      <c r="B5" s="4">
        <v>0</v>
      </c>
      <c r="C5" s="4">
        <v>0</v>
      </c>
      <c r="D5" s="4">
        <v>1</v>
      </c>
      <c r="E5" s="4">
        <v>1</v>
      </c>
      <c r="F5" s="4">
        <v>1</v>
      </c>
      <c r="G5" s="80"/>
      <c r="H5" s="80"/>
      <c r="I5" s="80"/>
      <c r="J5" s="80"/>
      <c r="K5" s="80"/>
      <c r="L5" s="80"/>
      <c r="M5" s="80"/>
      <c r="N5" s="80"/>
      <c r="O5" s="81">
        <f>-'06_CAPEX_Dau_tu'!$G$31</f>
        <v>-3255.9659165544003</v>
      </c>
      <c r="P5" s="81">
        <f>O5</f>
        <v>-3255.9659165544003</v>
      </c>
      <c r="Q5" s="81">
        <f t="shared" ref="Q5:Q36" si="0">O5*F5</f>
        <v>-3255.9659165544003</v>
      </c>
      <c r="R5" s="80"/>
      <c r="S5" s="80"/>
      <c r="T5" s="80"/>
      <c r="U5" s="80"/>
      <c r="V5" s="80"/>
      <c r="W5" s="80"/>
      <c r="X5" s="80"/>
      <c r="Y5" s="80"/>
      <c r="Z5" s="81">
        <f>-'06_CAPEX_Dau_tu'!$G$31</f>
        <v>-3255.9659165544003</v>
      </c>
      <c r="AA5" s="81">
        <f>Z5</f>
        <v>-3255.9659165544003</v>
      </c>
      <c r="AB5" s="81">
        <f t="shared" ref="AB5:AB36" si="1">Z5*F5</f>
        <v>-3255.9659165544003</v>
      </c>
      <c r="AC5" s="80"/>
      <c r="AD5" s="80"/>
      <c r="AE5" s="80"/>
      <c r="AF5" s="80"/>
      <c r="AG5" s="80"/>
      <c r="AH5" s="80"/>
      <c r="AI5" s="80"/>
      <c r="AJ5" s="80"/>
      <c r="AK5" s="81">
        <f>-'06_CAPEX_Dau_tu'!$G$31</f>
        <v>-3255.9659165544003</v>
      </c>
      <c r="AL5" s="81">
        <f>AK5</f>
        <v>-3255.9659165544003</v>
      </c>
      <c r="AM5" s="81">
        <f t="shared" ref="AM5:AM36" si="2">AK5*F5</f>
        <v>-3255.9659165544003</v>
      </c>
    </row>
    <row r="6" spans="1:39" ht="20.100000000000001" customHeight="1" x14ac:dyDescent="0.2">
      <c r="A6" s="9">
        <v>1</v>
      </c>
      <c r="B6" s="9">
        <f t="shared" ref="B6:B37" si="3">INT((A6-1)/12)+1</f>
        <v>1</v>
      </c>
      <c r="C6" s="82">
        <f>'03_Gia_dinh_Vi_mo'!$B$44</f>
        <v>0.3</v>
      </c>
      <c r="D6" s="83">
        <f>(1+'03_Gia_dinh_Vi_mo'!$C$10)^(B6-1)</f>
        <v>1</v>
      </c>
      <c r="E6" s="83">
        <f>(1+'03_Gia_dinh_Vi_mo'!$C$9)^(B6-1)</f>
        <v>1</v>
      </c>
      <c r="F6" s="83">
        <f>1/(1+'03_Gia_dinh_Vi_mo'!$C$12)^(A6/12)</f>
        <v>0.9884207332283691</v>
      </c>
      <c r="G6" s="26">
        <f>'03_Gia_dinh_Vi_mo'!$C$22*C6*D6</f>
        <v>624</v>
      </c>
      <c r="H6" s="26">
        <f>G6*'03_Gia_dinh_Vi_mo'!$C$17</f>
        <v>124.80000000000001</v>
      </c>
      <c r="I6" s="26">
        <f>'03_Gia_dinh_Vi_mo'!$F$40*E6</f>
        <v>345.33343102740002</v>
      </c>
      <c r="J6" s="26">
        <f t="shared" ref="J6:J37" si="4">G6-H6-I6</f>
        <v>153.86656897259996</v>
      </c>
      <c r="K6" s="26">
        <f>IF(A6&lt;=60, '06_CAPEX_Dau_tu'!$G$32/60, 0)</f>
        <v>35.674629800000012</v>
      </c>
      <c r="L6" s="26">
        <f t="shared" ref="L6:L37" si="5">J6-K6</f>
        <v>118.19193917259994</v>
      </c>
      <c r="M6" s="26">
        <f>IF(L6&gt;0, L6*'03_Gia_dinh_Vi_mo'!$C$11, 0)</f>
        <v>23.638387834519989</v>
      </c>
      <c r="N6" s="26">
        <f t="shared" ref="N6:N37" si="6">L6-M6</f>
        <v>94.553551338079956</v>
      </c>
      <c r="O6" s="26">
        <f t="shared" ref="O6:O37" si="7">J6-M6</f>
        <v>130.22818113807998</v>
      </c>
      <c r="P6" s="26">
        <f t="shared" ref="P6:P37" si="8">P5+O6</f>
        <v>-3125.7377354163204</v>
      </c>
      <c r="Q6" s="26">
        <f t="shared" si="0"/>
        <v>128.72023428749787</v>
      </c>
      <c r="R6" s="26">
        <f>'03_Gia_dinh_Vi_mo'!$C$23*C6*D6</f>
        <v>1092</v>
      </c>
      <c r="S6" s="26">
        <f>R6*'03_Gia_dinh_Vi_mo'!$C$17</f>
        <v>218.4</v>
      </c>
      <c r="T6" s="26">
        <f>'03_Gia_dinh_Vi_mo'!$F$40*E6</f>
        <v>345.33343102740002</v>
      </c>
      <c r="U6" s="26">
        <f t="shared" ref="U6:U37" si="9">R6-S6-T6</f>
        <v>528.2665689726</v>
      </c>
      <c r="V6" s="26">
        <f>IF(A6&lt;=60, '06_CAPEX_Dau_tu'!$G$32/60, 0)</f>
        <v>35.674629800000012</v>
      </c>
      <c r="W6" s="26">
        <f t="shared" ref="W6:W37" si="10">U6-V6</f>
        <v>492.59193917260001</v>
      </c>
      <c r="X6" s="26">
        <f>IF(W6&gt;0, W6*'03_Gia_dinh_Vi_mo'!$C$11, 0)</f>
        <v>98.518387834520013</v>
      </c>
      <c r="Y6" s="26">
        <f t="shared" ref="Y6:Y37" si="11">W6-X6</f>
        <v>394.07355133807999</v>
      </c>
      <c r="Z6" s="26">
        <f t="shared" ref="Z6:Z37" si="12">U6-X6</f>
        <v>429.74818113807999</v>
      </c>
      <c r="AA6" s="26">
        <f t="shared" ref="AA6:AA37" si="13">AA5+Z6</f>
        <v>-2826.2177354163205</v>
      </c>
      <c r="AB6" s="26">
        <f t="shared" si="1"/>
        <v>424.77201230405899</v>
      </c>
      <c r="AC6" s="26">
        <f>'03_Gia_dinh_Vi_mo'!$C$24*C6*D6</f>
        <v>1560</v>
      </c>
      <c r="AD6" s="26">
        <f>AC6*'03_Gia_dinh_Vi_mo'!$C$17</f>
        <v>312</v>
      </c>
      <c r="AE6" s="26">
        <f>'03_Gia_dinh_Vi_mo'!$F$40*E6</f>
        <v>345.33343102740002</v>
      </c>
      <c r="AF6" s="26">
        <f t="shared" ref="AF6:AF37" si="14">AC6-AD6-AE6</f>
        <v>902.66656897259998</v>
      </c>
      <c r="AG6" s="26">
        <f>IF(A6&lt;=60, '06_CAPEX_Dau_tu'!$G$32/60, 0)</f>
        <v>35.674629800000012</v>
      </c>
      <c r="AH6" s="26">
        <f t="shared" ref="AH6:AH37" si="15">AF6-AG6</f>
        <v>866.99193917259993</v>
      </c>
      <c r="AI6" s="26">
        <f>IF(AH6&gt;0, AH6*'03_Gia_dinh_Vi_mo'!$C$11, 0)</f>
        <v>173.39838783452001</v>
      </c>
      <c r="AJ6" s="26">
        <f t="shared" ref="AJ6:AJ37" si="16">AH6-AI6</f>
        <v>693.59355133807992</v>
      </c>
      <c r="AK6" s="26">
        <f t="shared" ref="AK6:AK37" si="17">AF6-AI6</f>
        <v>729.26818113807997</v>
      </c>
      <c r="AL6" s="26">
        <f t="shared" ref="AL6:AL37" si="18">AL5+AK6</f>
        <v>-2526.6977354163205</v>
      </c>
      <c r="AM6" s="26">
        <f t="shared" si="2"/>
        <v>720.82379032062011</v>
      </c>
    </row>
    <row r="7" spans="1:39" ht="20.100000000000001" customHeight="1" x14ac:dyDescent="0.2">
      <c r="A7" s="9">
        <v>2</v>
      </c>
      <c r="B7" s="9">
        <f t="shared" si="3"/>
        <v>1</v>
      </c>
      <c r="C7" s="82">
        <f>'03_Gia_dinh_Vi_mo'!$C$44</f>
        <v>0.45</v>
      </c>
      <c r="D7" s="83">
        <f>(1+'03_Gia_dinh_Vi_mo'!$C$10)^(B7-1)</f>
        <v>1</v>
      </c>
      <c r="E7" s="83">
        <f>(1+'03_Gia_dinh_Vi_mo'!$C$9)^(B7-1)</f>
        <v>1</v>
      </c>
      <c r="F7" s="83">
        <f>1/(1+'03_Gia_dinh_Vi_mo'!$C$12)^(A7/12)</f>
        <v>0.9769755458757069</v>
      </c>
      <c r="G7" s="26">
        <f>'03_Gia_dinh_Vi_mo'!$C$22*C7*D7</f>
        <v>936</v>
      </c>
      <c r="H7" s="26">
        <f>G7*'03_Gia_dinh_Vi_mo'!$C$17</f>
        <v>187.20000000000002</v>
      </c>
      <c r="I7" s="26">
        <f>'03_Gia_dinh_Vi_mo'!$F$40*E7</f>
        <v>345.33343102740002</v>
      </c>
      <c r="J7" s="26">
        <f t="shared" si="4"/>
        <v>403.46656897259993</v>
      </c>
      <c r="K7" s="26">
        <f>IF(A7&lt;=60, '06_CAPEX_Dau_tu'!$G$32/60, 0)</f>
        <v>35.674629800000012</v>
      </c>
      <c r="L7" s="26">
        <f t="shared" si="5"/>
        <v>367.79193917259994</v>
      </c>
      <c r="M7" s="26">
        <f>IF(L7&gt;0, L7*'03_Gia_dinh_Vi_mo'!$C$11, 0)</f>
        <v>73.558387834519991</v>
      </c>
      <c r="N7" s="26">
        <f t="shared" si="6"/>
        <v>294.23355133807996</v>
      </c>
      <c r="O7" s="26">
        <f t="shared" si="7"/>
        <v>329.90818113807995</v>
      </c>
      <c r="P7" s="26">
        <f t="shared" si="8"/>
        <v>-2795.8295542782407</v>
      </c>
      <c r="Q7" s="26">
        <f t="shared" si="0"/>
        <v>322.31222535623726</v>
      </c>
      <c r="R7" s="26">
        <f>'03_Gia_dinh_Vi_mo'!$C$23*C7*D7</f>
        <v>1638</v>
      </c>
      <c r="S7" s="26">
        <f>R7*'03_Gia_dinh_Vi_mo'!$C$17</f>
        <v>327.60000000000002</v>
      </c>
      <c r="T7" s="26">
        <f>'03_Gia_dinh_Vi_mo'!$F$40*E7</f>
        <v>345.33343102740002</v>
      </c>
      <c r="U7" s="26">
        <f t="shared" si="9"/>
        <v>965.06656897260007</v>
      </c>
      <c r="V7" s="26">
        <f>IF(A7&lt;=60, '06_CAPEX_Dau_tu'!$G$32/60, 0)</f>
        <v>35.674629800000012</v>
      </c>
      <c r="W7" s="26">
        <f t="shared" si="10"/>
        <v>929.39193917260002</v>
      </c>
      <c r="X7" s="26">
        <f>IF(W7&gt;0, W7*'03_Gia_dinh_Vi_mo'!$C$11, 0)</f>
        <v>185.87838783452003</v>
      </c>
      <c r="Y7" s="26">
        <f t="shared" si="11"/>
        <v>743.51355133807999</v>
      </c>
      <c r="Z7" s="26">
        <f t="shared" si="12"/>
        <v>779.18818113808004</v>
      </c>
      <c r="AA7" s="26">
        <f t="shared" si="13"/>
        <v>-2047.0295542782405</v>
      </c>
      <c r="AB7" s="26">
        <f t="shared" si="1"/>
        <v>761.24779860727494</v>
      </c>
      <c r="AC7" s="26">
        <f>'03_Gia_dinh_Vi_mo'!$C$24*C7*D7</f>
        <v>2340</v>
      </c>
      <c r="AD7" s="26">
        <f>AC7*'03_Gia_dinh_Vi_mo'!$C$17</f>
        <v>468</v>
      </c>
      <c r="AE7" s="26">
        <f>'03_Gia_dinh_Vi_mo'!$F$40*E7</f>
        <v>345.33343102740002</v>
      </c>
      <c r="AF7" s="26">
        <f t="shared" si="14"/>
        <v>1526.6665689726001</v>
      </c>
      <c r="AG7" s="26">
        <f>IF(A7&lt;=60, '06_CAPEX_Dau_tu'!$G$32/60, 0)</f>
        <v>35.674629800000012</v>
      </c>
      <c r="AH7" s="26">
        <f t="shared" si="15"/>
        <v>1490.9919391726</v>
      </c>
      <c r="AI7" s="26">
        <f>IF(AH7&gt;0, AH7*'03_Gia_dinh_Vi_mo'!$C$11, 0)</f>
        <v>298.19838783452002</v>
      </c>
      <c r="AJ7" s="26">
        <f t="shared" si="16"/>
        <v>1192.7935513380801</v>
      </c>
      <c r="AK7" s="26">
        <f t="shared" si="17"/>
        <v>1228.4681811380801</v>
      </c>
      <c r="AL7" s="26">
        <f t="shared" si="18"/>
        <v>-1298.2295542782404</v>
      </c>
      <c r="AM7" s="26">
        <f t="shared" si="2"/>
        <v>1200.1833718583125</v>
      </c>
    </row>
    <row r="8" spans="1:39" ht="20.100000000000001" customHeight="1" x14ac:dyDescent="0.2">
      <c r="A8" s="9">
        <v>3</v>
      </c>
      <c r="B8" s="9">
        <f t="shared" si="3"/>
        <v>1</v>
      </c>
      <c r="C8" s="82">
        <f>'03_Gia_dinh_Vi_mo'!$D$44</f>
        <v>0.6</v>
      </c>
      <c r="D8" s="83">
        <f>(1+'03_Gia_dinh_Vi_mo'!$C$10)^(B8-1)</f>
        <v>1</v>
      </c>
      <c r="E8" s="83">
        <f>(1+'03_Gia_dinh_Vi_mo'!$C$9)^(B8-1)</f>
        <v>1</v>
      </c>
      <c r="F8" s="83">
        <f>1/(1+'03_Gia_dinh_Vi_mo'!$C$12)^(A8/12)</f>
        <v>0.96566288540065248</v>
      </c>
      <c r="G8" s="26">
        <f>'03_Gia_dinh_Vi_mo'!$C$22*C8*D8</f>
        <v>1248</v>
      </c>
      <c r="H8" s="26">
        <f>G8*'03_Gia_dinh_Vi_mo'!$C$17</f>
        <v>249.60000000000002</v>
      </c>
      <c r="I8" s="26">
        <f>'03_Gia_dinh_Vi_mo'!$F$40*E8</f>
        <v>345.33343102740002</v>
      </c>
      <c r="J8" s="26">
        <f t="shared" si="4"/>
        <v>653.06656897259995</v>
      </c>
      <c r="K8" s="26">
        <f>IF(A8&lt;=60, '06_CAPEX_Dau_tu'!$G$32/60, 0)</f>
        <v>35.674629800000012</v>
      </c>
      <c r="L8" s="26">
        <f t="shared" si="5"/>
        <v>617.3919391725999</v>
      </c>
      <c r="M8" s="26">
        <f>IF(L8&gt;0, L8*'03_Gia_dinh_Vi_mo'!$C$11, 0)</f>
        <v>123.47838783451999</v>
      </c>
      <c r="N8" s="26">
        <f t="shared" si="6"/>
        <v>493.91355133807991</v>
      </c>
      <c r="O8" s="26">
        <f t="shared" si="7"/>
        <v>529.58818113808002</v>
      </c>
      <c r="P8" s="26">
        <f t="shared" si="8"/>
        <v>-2266.2413731401607</v>
      </c>
      <c r="Q8" s="26">
        <f t="shared" si="0"/>
        <v>511.40365107188177</v>
      </c>
      <c r="R8" s="26">
        <f>'03_Gia_dinh_Vi_mo'!$C$23*C8*D8</f>
        <v>2184</v>
      </c>
      <c r="S8" s="26">
        <f>R8*'03_Gia_dinh_Vi_mo'!$C$17</f>
        <v>436.8</v>
      </c>
      <c r="T8" s="26">
        <f>'03_Gia_dinh_Vi_mo'!$F$40*E8</f>
        <v>345.33343102740002</v>
      </c>
      <c r="U8" s="26">
        <f t="shared" si="9"/>
        <v>1401.8665689725999</v>
      </c>
      <c r="V8" s="26">
        <f>IF(A8&lt;=60, '06_CAPEX_Dau_tu'!$G$32/60, 0)</f>
        <v>35.674629800000012</v>
      </c>
      <c r="W8" s="26">
        <f t="shared" si="10"/>
        <v>1366.1919391725999</v>
      </c>
      <c r="X8" s="26">
        <f>IF(W8&gt;0, W8*'03_Gia_dinh_Vi_mo'!$C$11, 0)</f>
        <v>273.23838783451998</v>
      </c>
      <c r="Y8" s="26">
        <f t="shared" si="11"/>
        <v>1092.9535513380799</v>
      </c>
      <c r="Z8" s="26">
        <f t="shared" si="12"/>
        <v>1128.62818113808</v>
      </c>
      <c r="AA8" s="26">
        <f t="shared" si="13"/>
        <v>-918.40137314016056</v>
      </c>
      <c r="AB8" s="26">
        <f t="shared" si="1"/>
        <v>1089.8743459422885</v>
      </c>
      <c r="AC8" s="26">
        <f>'03_Gia_dinh_Vi_mo'!$C$24*C8*D8</f>
        <v>3120</v>
      </c>
      <c r="AD8" s="26">
        <f>AC8*'03_Gia_dinh_Vi_mo'!$C$17</f>
        <v>624</v>
      </c>
      <c r="AE8" s="26">
        <f>'03_Gia_dinh_Vi_mo'!$F$40*E8</f>
        <v>345.33343102740002</v>
      </c>
      <c r="AF8" s="26">
        <f t="shared" si="14"/>
        <v>2150.6665689726001</v>
      </c>
      <c r="AG8" s="26">
        <f>IF(A8&lt;=60, '06_CAPEX_Dau_tu'!$G$32/60, 0)</f>
        <v>35.674629800000012</v>
      </c>
      <c r="AH8" s="26">
        <f t="shared" si="15"/>
        <v>2114.9919391726003</v>
      </c>
      <c r="AI8" s="26">
        <f>IF(AH8&gt;0, AH8*'03_Gia_dinh_Vi_mo'!$C$11, 0)</f>
        <v>422.99838783452009</v>
      </c>
      <c r="AJ8" s="26">
        <f t="shared" si="16"/>
        <v>1691.9935513380801</v>
      </c>
      <c r="AK8" s="26">
        <f t="shared" si="17"/>
        <v>1727.6681811380799</v>
      </c>
      <c r="AL8" s="26">
        <f t="shared" si="18"/>
        <v>429.43862685983959</v>
      </c>
      <c r="AM8" s="26">
        <f t="shared" si="2"/>
        <v>1668.3450408126955</v>
      </c>
    </row>
    <row r="9" spans="1:39" ht="20.100000000000001" customHeight="1" x14ac:dyDescent="0.2">
      <c r="A9" s="9">
        <v>4</v>
      </c>
      <c r="B9" s="9">
        <f t="shared" si="3"/>
        <v>1</v>
      </c>
      <c r="C9" s="82">
        <f>'03_Gia_dinh_Vi_mo'!$E$44</f>
        <v>0.75</v>
      </c>
      <c r="D9" s="83">
        <f>(1+'03_Gia_dinh_Vi_mo'!$C$10)^(B9-1)</f>
        <v>1</v>
      </c>
      <c r="E9" s="83">
        <f>(1+'03_Gia_dinh_Vi_mo'!$C$9)^(B9-1)</f>
        <v>1</v>
      </c>
      <c r="F9" s="83">
        <f>1/(1+'03_Gia_dinh_Vi_mo'!$C$12)^(A9/12)</f>
        <v>0.9544812172391357</v>
      </c>
      <c r="G9" s="26">
        <f>'03_Gia_dinh_Vi_mo'!$C$22*C9*D9</f>
        <v>1560</v>
      </c>
      <c r="H9" s="26">
        <f>G9*'03_Gia_dinh_Vi_mo'!$C$17</f>
        <v>312</v>
      </c>
      <c r="I9" s="26">
        <f>'03_Gia_dinh_Vi_mo'!$F$40*E9</f>
        <v>345.33343102740002</v>
      </c>
      <c r="J9" s="26">
        <f t="shared" si="4"/>
        <v>902.66656897259998</v>
      </c>
      <c r="K9" s="26">
        <f>IF(A9&lt;=60, '06_CAPEX_Dau_tu'!$G$32/60, 0)</f>
        <v>35.674629800000012</v>
      </c>
      <c r="L9" s="26">
        <f t="shared" si="5"/>
        <v>866.99193917259993</v>
      </c>
      <c r="M9" s="26">
        <f>IF(L9&gt;0, L9*'03_Gia_dinh_Vi_mo'!$C$11, 0)</f>
        <v>173.39838783452001</v>
      </c>
      <c r="N9" s="26">
        <f t="shared" si="6"/>
        <v>693.59355133807992</v>
      </c>
      <c r="O9" s="26">
        <f t="shared" si="7"/>
        <v>729.26818113807997</v>
      </c>
      <c r="P9" s="26">
        <f t="shared" si="8"/>
        <v>-1536.9731920020809</v>
      </c>
      <c r="Q9" s="26">
        <f t="shared" si="0"/>
        <v>696.07278122644504</v>
      </c>
      <c r="R9" s="26">
        <f>'03_Gia_dinh_Vi_mo'!$C$23*C9*D9</f>
        <v>2730</v>
      </c>
      <c r="S9" s="26">
        <f>R9*'03_Gia_dinh_Vi_mo'!$C$17</f>
        <v>546</v>
      </c>
      <c r="T9" s="26">
        <f>'03_Gia_dinh_Vi_mo'!$F$40*E9</f>
        <v>345.33343102740002</v>
      </c>
      <c r="U9" s="26">
        <f t="shared" si="9"/>
        <v>1838.6665689726001</v>
      </c>
      <c r="V9" s="26">
        <f>IF(A9&lt;=60, '06_CAPEX_Dau_tu'!$G$32/60, 0)</f>
        <v>35.674629800000012</v>
      </c>
      <c r="W9" s="26">
        <f t="shared" si="10"/>
        <v>1802.9919391726</v>
      </c>
      <c r="X9" s="26">
        <f>IF(W9&gt;0, W9*'03_Gia_dinh_Vi_mo'!$C$11, 0)</f>
        <v>360.59838783452005</v>
      </c>
      <c r="Y9" s="26">
        <f t="shared" si="11"/>
        <v>1442.39355133808</v>
      </c>
      <c r="Z9" s="26">
        <f t="shared" si="12"/>
        <v>1478.06818113808</v>
      </c>
      <c r="AA9" s="26">
        <f t="shared" si="13"/>
        <v>559.66680799791948</v>
      </c>
      <c r="AB9" s="26">
        <f t="shared" si="1"/>
        <v>1410.7883166951099</v>
      </c>
      <c r="AC9" s="26">
        <f>'03_Gia_dinh_Vi_mo'!$C$24*C9*D9</f>
        <v>3900</v>
      </c>
      <c r="AD9" s="26">
        <f>AC9*'03_Gia_dinh_Vi_mo'!$C$17</f>
        <v>780</v>
      </c>
      <c r="AE9" s="26">
        <f>'03_Gia_dinh_Vi_mo'!$F$40*E9</f>
        <v>345.33343102740002</v>
      </c>
      <c r="AF9" s="26">
        <f t="shared" si="14"/>
        <v>2774.6665689726001</v>
      </c>
      <c r="AG9" s="26">
        <f>IF(A9&lt;=60, '06_CAPEX_Dau_tu'!$G$32/60, 0)</f>
        <v>35.674629800000012</v>
      </c>
      <c r="AH9" s="26">
        <f t="shared" si="15"/>
        <v>2738.9919391726003</v>
      </c>
      <c r="AI9" s="26">
        <f>IF(AH9&gt;0, AH9*'03_Gia_dinh_Vi_mo'!$C$11, 0)</f>
        <v>547.7983878345201</v>
      </c>
      <c r="AJ9" s="26">
        <f t="shared" si="16"/>
        <v>2191.1935513380804</v>
      </c>
      <c r="AK9" s="26">
        <f t="shared" si="17"/>
        <v>2226.8681811380802</v>
      </c>
      <c r="AL9" s="26">
        <f t="shared" si="18"/>
        <v>2656.3068079979198</v>
      </c>
      <c r="AM9" s="26">
        <f t="shared" si="2"/>
        <v>2125.5038521637748</v>
      </c>
    </row>
    <row r="10" spans="1:39" ht="20.100000000000001" customHeight="1" x14ac:dyDescent="0.2">
      <c r="A10" s="9">
        <v>5</v>
      </c>
      <c r="B10" s="9">
        <f t="shared" si="3"/>
        <v>1</v>
      </c>
      <c r="C10" s="82">
        <f>'03_Gia_dinh_Vi_mo'!$F$44</f>
        <v>0.9</v>
      </c>
      <c r="D10" s="83">
        <f>(1+'03_Gia_dinh_Vi_mo'!$C$10)^(B10-1)</f>
        <v>1</v>
      </c>
      <c r="E10" s="83">
        <f>(1+'03_Gia_dinh_Vi_mo'!$C$9)^(B10-1)</f>
        <v>1</v>
      </c>
      <c r="F10" s="83">
        <f>1/(1+'03_Gia_dinh_Vi_mo'!$C$12)^(A10/12)</f>
        <v>0.94342902459621281</v>
      </c>
      <c r="G10" s="26">
        <f>'03_Gia_dinh_Vi_mo'!$C$22*C10*D10</f>
        <v>1872</v>
      </c>
      <c r="H10" s="26">
        <f>G10*'03_Gia_dinh_Vi_mo'!$C$17</f>
        <v>374.40000000000003</v>
      </c>
      <c r="I10" s="26">
        <f>'03_Gia_dinh_Vi_mo'!$F$40*E10</f>
        <v>345.33343102740002</v>
      </c>
      <c r="J10" s="26">
        <f t="shared" si="4"/>
        <v>1152.2665689726</v>
      </c>
      <c r="K10" s="26">
        <f>IF(A10&lt;=60, '06_CAPEX_Dau_tu'!$G$32/60, 0)</f>
        <v>35.674629800000012</v>
      </c>
      <c r="L10" s="26">
        <f t="shared" si="5"/>
        <v>1116.5919391726</v>
      </c>
      <c r="M10" s="26">
        <f>IF(L10&gt;0, L10*'03_Gia_dinh_Vi_mo'!$C$11, 0)</f>
        <v>223.31838783452</v>
      </c>
      <c r="N10" s="26">
        <f t="shared" si="6"/>
        <v>893.27355133807998</v>
      </c>
      <c r="O10" s="26">
        <f t="shared" si="7"/>
        <v>928.94818113808003</v>
      </c>
      <c r="P10" s="26">
        <f t="shared" si="8"/>
        <v>-608.02501086400082</v>
      </c>
      <c r="Q10" s="26">
        <f t="shared" si="0"/>
        <v>876.39667643152484</v>
      </c>
      <c r="R10" s="26">
        <f>'03_Gia_dinh_Vi_mo'!$C$23*C10*D10</f>
        <v>3276</v>
      </c>
      <c r="S10" s="26">
        <f>R10*'03_Gia_dinh_Vi_mo'!$C$17</f>
        <v>655.20000000000005</v>
      </c>
      <c r="T10" s="26">
        <f>'03_Gia_dinh_Vi_mo'!$F$40*E10</f>
        <v>345.33343102740002</v>
      </c>
      <c r="U10" s="26">
        <f t="shared" si="9"/>
        <v>2275.4665689726003</v>
      </c>
      <c r="V10" s="26">
        <f>IF(A10&lt;=60, '06_CAPEX_Dau_tu'!$G$32/60, 0)</f>
        <v>35.674629800000012</v>
      </c>
      <c r="W10" s="26">
        <f t="shared" si="10"/>
        <v>2239.7919391726005</v>
      </c>
      <c r="X10" s="26">
        <f>IF(W10&gt;0, W10*'03_Gia_dinh_Vi_mo'!$C$11, 0)</f>
        <v>447.95838783452012</v>
      </c>
      <c r="Y10" s="26">
        <f t="shared" si="11"/>
        <v>1791.8335513380803</v>
      </c>
      <c r="Z10" s="26">
        <f t="shared" si="12"/>
        <v>1827.5081811380801</v>
      </c>
      <c r="AA10" s="26">
        <f t="shared" si="13"/>
        <v>2387.1749891359996</v>
      </c>
      <c r="AB10" s="26">
        <f t="shared" si="1"/>
        <v>1724.1242607726979</v>
      </c>
      <c r="AC10" s="26">
        <f>'03_Gia_dinh_Vi_mo'!$C$24*C10*D10</f>
        <v>4680</v>
      </c>
      <c r="AD10" s="26">
        <f>AC10*'03_Gia_dinh_Vi_mo'!$C$17</f>
        <v>936</v>
      </c>
      <c r="AE10" s="26">
        <f>'03_Gia_dinh_Vi_mo'!$F$40*E10</f>
        <v>345.33343102740002</v>
      </c>
      <c r="AF10" s="26">
        <f t="shared" si="14"/>
        <v>3398.6665689726001</v>
      </c>
      <c r="AG10" s="26">
        <f>IF(A10&lt;=60, '06_CAPEX_Dau_tu'!$G$32/60, 0)</f>
        <v>35.674629800000012</v>
      </c>
      <c r="AH10" s="26">
        <f t="shared" si="15"/>
        <v>3362.9919391726003</v>
      </c>
      <c r="AI10" s="26">
        <f>IF(AH10&gt;0, AH10*'03_Gia_dinh_Vi_mo'!$C$11, 0)</f>
        <v>672.59838783452005</v>
      </c>
      <c r="AJ10" s="26">
        <f t="shared" si="16"/>
        <v>2690.3935513380802</v>
      </c>
      <c r="AK10" s="26">
        <f t="shared" si="17"/>
        <v>2726.06818113808</v>
      </c>
      <c r="AL10" s="26">
        <f t="shared" si="18"/>
        <v>5382.3749891360003</v>
      </c>
      <c r="AM10" s="26">
        <f t="shared" si="2"/>
        <v>2571.8518451138707</v>
      </c>
    </row>
    <row r="11" spans="1:39" ht="20.100000000000001" customHeight="1" x14ac:dyDescent="0.2">
      <c r="A11" s="9">
        <v>6</v>
      </c>
      <c r="B11" s="9">
        <f t="shared" si="3"/>
        <v>1</v>
      </c>
      <c r="C11" s="82">
        <f>'03_Gia_dinh_Vi_mo'!$G$44</f>
        <v>1</v>
      </c>
      <c r="D11" s="83">
        <f>(1+'03_Gia_dinh_Vi_mo'!$C$10)^(B11-1)</f>
        <v>1</v>
      </c>
      <c r="E11" s="83">
        <f>(1+'03_Gia_dinh_Vi_mo'!$C$9)^(B11-1)</f>
        <v>1</v>
      </c>
      <c r="F11" s="83">
        <f>1/(1+'03_Gia_dinh_Vi_mo'!$C$12)^(A11/12)</f>
        <v>0.93250480824031379</v>
      </c>
      <c r="G11" s="26">
        <f>'03_Gia_dinh_Vi_mo'!$C$22*C11*D11</f>
        <v>2080</v>
      </c>
      <c r="H11" s="26">
        <f>G11*'03_Gia_dinh_Vi_mo'!$C$17</f>
        <v>416</v>
      </c>
      <c r="I11" s="26">
        <f>'03_Gia_dinh_Vi_mo'!$F$40*E11</f>
        <v>345.33343102740002</v>
      </c>
      <c r="J11" s="26">
        <f t="shared" si="4"/>
        <v>1318.6665689726001</v>
      </c>
      <c r="K11" s="26">
        <f>IF(A11&lt;=60, '06_CAPEX_Dau_tu'!$G$32/60, 0)</f>
        <v>35.674629800000012</v>
      </c>
      <c r="L11" s="26">
        <f t="shared" si="5"/>
        <v>1282.9919391726</v>
      </c>
      <c r="M11" s="26">
        <f>IF(L11&gt;0, L11*'03_Gia_dinh_Vi_mo'!$C$11, 0)</f>
        <v>256.59838783452</v>
      </c>
      <c r="N11" s="26">
        <f t="shared" si="6"/>
        <v>1026.39355133808</v>
      </c>
      <c r="O11" s="26">
        <f t="shared" si="7"/>
        <v>1062.06818113808</v>
      </c>
      <c r="P11" s="26">
        <f t="shared" si="8"/>
        <v>454.04317027407922</v>
      </c>
      <c r="Q11" s="26">
        <f t="shared" si="0"/>
        <v>990.38368559030414</v>
      </c>
      <c r="R11" s="26">
        <f>'03_Gia_dinh_Vi_mo'!$C$23*C11*D11</f>
        <v>3640</v>
      </c>
      <c r="S11" s="26">
        <f>R11*'03_Gia_dinh_Vi_mo'!$C$17</f>
        <v>728</v>
      </c>
      <c r="T11" s="26">
        <f>'03_Gia_dinh_Vi_mo'!$F$40*E11</f>
        <v>345.33343102740002</v>
      </c>
      <c r="U11" s="26">
        <f t="shared" si="9"/>
        <v>2566.6665689726001</v>
      </c>
      <c r="V11" s="26">
        <f>IF(A11&lt;=60, '06_CAPEX_Dau_tu'!$G$32/60, 0)</f>
        <v>35.674629800000012</v>
      </c>
      <c r="W11" s="26">
        <f t="shared" si="10"/>
        <v>2530.9919391726003</v>
      </c>
      <c r="X11" s="26">
        <f>IF(W11&gt;0, W11*'03_Gia_dinh_Vi_mo'!$C$11, 0)</f>
        <v>506.19838783452008</v>
      </c>
      <c r="Y11" s="26">
        <f t="shared" si="11"/>
        <v>2024.7935513380803</v>
      </c>
      <c r="Z11" s="26">
        <f t="shared" si="12"/>
        <v>2060.4681811380801</v>
      </c>
      <c r="AA11" s="26">
        <f t="shared" si="13"/>
        <v>4447.6431702740792</v>
      </c>
      <c r="AB11" s="26">
        <f t="shared" si="1"/>
        <v>1921.3964861374336</v>
      </c>
      <c r="AC11" s="26">
        <f>'03_Gia_dinh_Vi_mo'!$C$24*C11*D11</f>
        <v>5200</v>
      </c>
      <c r="AD11" s="26">
        <f>AC11*'03_Gia_dinh_Vi_mo'!$C$17</f>
        <v>1040</v>
      </c>
      <c r="AE11" s="26">
        <f>'03_Gia_dinh_Vi_mo'!$F$40*E11</f>
        <v>345.33343102740002</v>
      </c>
      <c r="AF11" s="26">
        <f t="shared" si="14"/>
        <v>3814.6665689726001</v>
      </c>
      <c r="AG11" s="26">
        <f>IF(A11&lt;=60, '06_CAPEX_Dau_tu'!$G$32/60, 0)</f>
        <v>35.674629800000012</v>
      </c>
      <c r="AH11" s="26">
        <f t="shared" si="15"/>
        <v>3778.9919391726003</v>
      </c>
      <c r="AI11" s="26">
        <f>IF(AH11&gt;0, AH11*'03_Gia_dinh_Vi_mo'!$C$11, 0)</f>
        <v>755.7983878345201</v>
      </c>
      <c r="AJ11" s="26">
        <f t="shared" si="16"/>
        <v>3023.1935513380804</v>
      </c>
      <c r="AK11" s="26">
        <f t="shared" si="17"/>
        <v>3058.8681811380802</v>
      </c>
      <c r="AL11" s="26">
        <f t="shared" si="18"/>
        <v>8441.2431702740796</v>
      </c>
      <c r="AM11" s="26">
        <f t="shared" si="2"/>
        <v>2852.4092866845631</v>
      </c>
    </row>
    <row r="12" spans="1:39" ht="20.100000000000001" customHeight="1" x14ac:dyDescent="0.2">
      <c r="A12" s="9">
        <v>7</v>
      </c>
      <c r="B12" s="9">
        <f t="shared" si="3"/>
        <v>1</v>
      </c>
      <c r="C12" s="82">
        <f>'03_Gia_dinh_Vi_mo'!$G$44</f>
        <v>1</v>
      </c>
      <c r="D12" s="83">
        <f>(1+'03_Gia_dinh_Vi_mo'!$C$10)^(B12-1)</f>
        <v>1</v>
      </c>
      <c r="E12" s="83">
        <f>(1+'03_Gia_dinh_Vi_mo'!$C$9)^(B12-1)</f>
        <v>1</v>
      </c>
      <c r="F12" s="83">
        <f>1/(1+'03_Gia_dinh_Vi_mo'!$C$12)^(A12/12)</f>
        <v>0.92170708629987086</v>
      </c>
      <c r="G12" s="26">
        <f>'03_Gia_dinh_Vi_mo'!$C$22*C12*D12</f>
        <v>2080</v>
      </c>
      <c r="H12" s="26">
        <f>G12*'03_Gia_dinh_Vi_mo'!$C$17</f>
        <v>416</v>
      </c>
      <c r="I12" s="26">
        <f>'03_Gia_dinh_Vi_mo'!$F$40*E12</f>
        <v>345.33343102740002</v>
      </c>
      <c r="J12" s="26">
        <f t="shared" si="4"/>
        <v>1318.6665689726001</v>
      </c>
      <c r="K12" s="26">
        <f>IF(A12&lt;=60, '06_CAPEX_Dau_tu'!$G$32/60, 0)</f>
        <v>35.674629800000012</v>
      </c>
      <c r="L12" s="26">
        <f t="shared" si="5"/>
        <v>1282.9919391726</v>
      </c>
      <c r="M12" s="26">
        <f>IF(L12&gt;0, L12*'03_Gia_dinh_Vi_mo'!$C$11, 0)</f>
        <v>256.59838783452</v>
      </c>
      <c r="N12" s="26">
        <f t="shared" si="6"/>
        <v>1026.39355133808</v>
      </c>
      <c r="O12" s="26">
        <f t="shared" si="7"/>
        <v>1062.06818113808</v>
      </c>
      <c r="P12" s="26">
        <f t="shared" si="8"/>
        <v>1516.1113514121594</v>
      </c>
      <c r="Q12" s="26">
        <f t="shared" si="0"/>
        <v>978.91576868858317</v>
      </c>
      <c r="R12" s="26">
        <f>'03_Gia_dinh_Vi_mo'!$C$23*C12*D12</f>
        <v>3640</v>
      </c>
      <c r="S12" s="26">
        <f>R12*'03_Gia_dinh_Vi_mo'!$C$17</f>
        <v>728</v>
      </c>
      <c r="T12" s="26">
        <f>'03_Gia_dinh_Vi_mo'!$F$40*E12</f>
        <v>345.33343102740002</v>
      </c>
      <c r="U12" s="26">
        <f t="shared" si="9"/>
        <v>2566.6665689726001</v>
      </c>
      <c r="V12" s="26">
        <f>IF(A12&lt;=60, '06_CAPEX_Dau_tu'!$G$32/60, 0)</f>
        <v>35.674629800000012</v>
      </c>
      <c r="W12" s="26">
        <f t="shared" si="10"/>
        <v>2530.9919391726003</v>
      </c>
      <c r="X12" s="26">
        <f>IF(W12&gt;0, W12*'03_Gia_dinh_Vi_mo'!$C$11, 0)</f>
        <v>506.19838783452008</v>
      </c>
      <c r="Y12" s="26">
        <f t="shared" si="11"/>
        <v>2024.7935513380803</v>
      </c>
      <c r="Z12" s="26">
        <f t="shared" si="12"/>
        <v>2060.4681811380801</v>
      </c>
      <c r="AA12" s="26">
        <f t="shared" si="13"/>
        <v>6508.1113514121589</v>
      </c>
      <c r="AB12" s="26">
        <f t="shared" si="1"/>
        <v>1899.1481236503744</v>
      </c>
      <c r="AC12" s="26">
        <f>'03_Gia_dinh_Vi_mo'!$C$24*C12*D12</f>
        <v>5200</v>
      </c>
      <c r="AD12" s="26">
        <f>AC12*'03_Gia_dinh_Vi_mo'!$C$17</f>
        <v>1040</v>
      </c>
      <c r="AE12" s="26">
        <f>'03_Gia_dinh_Vi_mo'!$F$40*E12</f>
        <v>345.33343102740002</v>
      </c>
      <c r="AF12" s="26">
        <f t="shared" si="14"/>
        <v>3814.6665689726001</v>
      </c>
      <c r="AG12" s="26">
        <f>IF(A12&lt;=60, '06_CAPEX_Dau_tu'!$G$32/60, 0)</f>
        <v>35.674629800000012</v>
      </c>
      <c r="AH12" s="26">
        <f t="shared" si="15"/>
        <v>3778.9919391726003</v>
      </c>
      <c r="AI12" s="26">
        <f>IF(AH12&gt;0, AH12*'03_Gia_dinh_Vi_mo'!$C$11, 0)</f>
        <v>755.7983878345201</v>
      </c>
      <c r="AJ12" s="26">
        <f t="shared" si="16"/>
        <v>3023.1935513380804</v>
      </c>
      <c r="AK12" s="26">
        <f t="shared" si="17"/>
        <v>3058.8681811380802</v>
      </c>
      <c r="AL12" s="26">
        <f t="shared" si="18"/>
        <v>11500.111351412161</v>
      </c>
      <c r="AM12" s="26">
        <f t="shared" si="2"/>
        <v>2819.3804786121655</v>
      </c>
    </row>
    <row r="13" spans="1:39" ht="20.100000000000001" customHeight="1" x14ac:dyDescent="0.2">
      <c r="A13" s="9">
        <v>8</v>
      </c>
      <c r="B13" s="9">
        <f t="shared" si="3"/>
        <v>1</v>
      </c>
      <c r="C13" s="82">
        <f>'03_Gia_dinh_Vi_mo'!$G$44</f>
        <v>1</v>
      </c>
      <c r="D13" s="83">
        <f>(1+'03_Gia_dinh_Vi_mo'!$C$10)^(B13-1)</f>
        <v>1</v>
      </c>
      <c r="E13" s="83">
        <f>(1+'03_Gia_dinh_Vi_mo'!$C$9)^(B13-1)</f>
        <v>1</v>
      </c>
      <c r="F13" s="83">
        <f>1/(1+'03_Gia_dinh_Vi_mo'!$C$12)^(A13/12)</f>
        <v>0.91103439406230202</v>
      </c>
      <c r="G13" s="26">
        <f>'03_Gia_dinh_Vi_mo'!$C$22*C13*D13</f>
        <v>2080</v>
      </c>
      <c r="H13" s="26">
        <f>G13*'03_Gia_dinh_Vi_mo'!$C$17</f>
        <v>416</v>
      </c>
      <c r="I13" s="26">
        <f>'03_Gia_dinh_Vi_mo'!$F$40*E13</f>
        <v>345.33343102740002</v>
      </c>
      <c r="J13" s="26">
        <f t="shared" si="4"/>
        <v>1318.6665689726001</v>
      </c>
      <c r="K13" s="26">
        <f>IF(A13&lt;=60, '06_CAPEX_Dau_tu'!$G$32/60, 0)</f>
        <v>35.674629800000012</v>
      </c>
      <c r="L13" s="26">
        <f t="shared" si="5"/>
        <v>1282.9919391726</v>
      </c>
      <c r="M13" s="26">
        <f>IF(L13&gt;0, L13*'03_Gia_dinh_Vi_mo'!$C$11, 0)</f>
        <v>256.59838783452</v>
      </c>
      <c r="N13" s="26">
        <f t="shared" si="6"/>
        <v>1026.39355133808</v>
      </c>
      <c r="O13" s="26">
        <f t="shared" si="7"/>
        <v>1062.06818113808</v>
      </c>
      <c r="P13" s="26">
        <f t="shared" si="8"/>
        <v>2578.1795325502394</v>
      </c>
      <c r="Q13" s="26">
        <f t="shared" si="0"/>
        <v>967.58064185598198</v>
      </c>
      <c r="R13" s="26">
        <f>'03_Gia_dinh_Vi_mo'!$C$23*C13*D13</f>
        <v>3640</v>
      </c>
      <c r="S13" s="26">
        <f>R13*'03_Gia_dinh_Vi_mo'!$C$17</f>
        <v>728</v>
      </c>
      <c r="T13" s="26">
        <f>'03_Gia_dinh_Vi_mo'!$F$40*E13</f>
        <v>345.33343102740002</v>
      </c>
      <c r="U13" s="26">
        <f t="shared" si="9"/>
        <v>2566.6665689726001</v>
      </c>
      <c r="V13" s="26">
        <f>IF(A13&lt;=60, '06_CAPEX_Dau_tu'!$G$32/60, 0)</f>
        <v>35.674629800000012</v>
      </c>
      <c r="W13" s="26">
        <f t="shared" si="10"/>
        <v>2530.9919391726003</v>
      </c>
      <c r="X13" s="26">
        <f>IF(W13&gt;0, W13*'03_Gia_dinh_Vi_mo'!$C$11, 0)</f>
        <v>506.19838783452008</v>
      </c>
      <c r="Y13" s="26">
        <f t="shared" si="11"/>
        <v>2024.7935513380803</v>
      </c>
      <c r="Z13" s="26">
        <f t="shared" si="12"/>
        <v>2060.4681811380801</v>
      </c>
      <c r="AA13" s="26">
        <f t="shared" si="13"/>
        <v>8568.5795325502386</v>
      </c>
      <c r="AB13" s="26">
        <f t="shared" si="1"/>
        <v>1877.1573808877845</v>
      </c>
      <c r="AC13" s="26">
        <f>'03_Gia_dinh_Vi_mo'!$C$24*C13*D13</f>
        <v>5200</v>
      </c>
      <c r="AD13" s="26">
        <f>AC13*'03_Gia_dinh_Vi_mo'!$C$17</f>
        <v>1040</v>
      </c>
      <c r="AE13" s="26">
        <f>'03_Gia_dinh_Vi_mo'!$F$40*E13</f>
        <v>345.33343102740002</v>
      </c>
      <c r="AF13" s="26">
        <f t="shared" si="14"/>
        <v>3814.6665689726001</v>
      </c>
      <c r="AG13" s="26">
        <f>IF(A13&lt;=60, '06_CAPEX_Dau_tu'!$G$32/60, 0)</f>
        <v>35.674629800000012</v>
      </c>
      <c r="AH13" s="26">
        <f t="shared" si="15"/>
        <v>3778.9919391726003</v>
      </c>
      <c r="AI13" s="26">
        <f>IF(AH13&gt;0, AH13*'03_Gia_dinh_Vi_mo'!$C$11, 0)</f>
        <v>755.7983878345201</v>
      </c>
      <c r="AJ13" s="26">
        <f t="shared" si="16"/>
        <v>3023.1935513380804</v>
      </c>
      <c r="AK13" s="26">
        <f t="shared" si="17"/>
        <v>3058.8681811380802</v>
      </c>
      <c r="AL13" s="26">
        <f t="shared" si="18"/>
        <v>14558.979532550242</v>
      </c>
      <c r="AM13" s="26">
        <f t="shared" si="2"/>
        <v>2786.7341199195866</v>
      </c>
    </row>
    <row r="14" spans="1:39" ht="20.100000000000001" customHeight="1" x14ac:dyDescent="0.2">
      <c r="A14" s="9">
        <v>9</v>
      </c>
      <c r="B14" s="9">
        <f t="shared" si="3"/>
        <v>1</v>
      </c>
      <c r="C14" s="82">
        <f>'03_Gia_dinh_Vi_mo'!$G$44</f>
        <v>1</v>
      </c>
      <c r="D14" s="83">
        <f>(1+'03_Gia_dinh_Vi_mo'!$C$10)^(B14-1)</f>
        <v>1</v>
      </c>
      <c r="E14" s="83">
        <f>(1+'03_Gia_dinh_Vi_mo'!$C$9)^(B14-1)</f>
        <v>1</v>
      </c>
      <c r="F14" s="83">
        <f>1/(1+'03_Gia_dinh_Vi_mo'!$C$12)^(A14/12)</f>
        <v>0.90048528377532355</v>
      </c>
      <c r="G14" s="26">
        <f>'03_Gia_dinh_Vi_mo'!$C$22*C14*D14</f>
        <v>2080</v>
      </c>
      <c r="H14" s="26">
        <f>G14*'03_Gia_dinh_Vi_mo'!$C$17</f>
        <v>416</v>
      </c>
      <c r="I14" s="26">
        <f>'03_Gia_dinh_Vi_mo'!$F$40*E14</f>
        <v>345.33343102740002</v>
      </c>
      <c r="J14" s="26">
        <f t="shared" si="4"/>
        <v>1318.6665689726001</v>
      </c>
      <c r="K14" s="26">
        <f>IF(A14&lt;=60, '06_CAPEX_Dau_tu'!$G$32/60, 0)</f>
        <v>35.674629800000012</v>
      </c>
      <c r="L14" s="26">
        <f t="shared" si="5"/>
        <v>1282.9919391726</v>
      </c>
      <c r="M14" s="26">
        <f>IF(L14&gt;0, L14*'03_Gia_dinh_Vi_mo'!$C$11, 0)</f>
        <v>256.59838783452</v>
      </c>
      <c r="N14" s="26">
        <f t="shared" si="6"/>
        <v>1026.39355133808</v>
      </c>
      <c r="O14" s="26">
        <f t="shared" si="7"/>
        <v>1062.06818113808</v>
      </c>
      <c r="P14" s="26">
        <f t="shared" si="8"/>
        <v>3640.2477136883194</v>
      </c>
      <c r="Q14" s="26">
        <f t="shared" si="0"/>
        <v>956.37676748086574</v>
      </c>
      <c r="R14" s="26">
        <f>'03_Gia_dinh_Vi_mo'!$C$23*C14*D14</f>
        <v>3640</v>
      </c>
      <c r="S14" s="26">
        <f>R14*'03_Gia_dinh_Vi_mo'!$C$17</f>
        <v>728</v>
      </c>
      <c r="T14" s="26">
        <f>'03_Gia_dinh_Vi_mo'!$F$40*E14</f>
        <v>345.33343102740002</v>
      </c>
      <c r="U14" s="26">
        <f t="shared" si="9"/>
        <v>2566.6665689726001</v>
      </c>
      <c r="V14" s="26">
        <f>IF(A14&lt;=60, '06_CAPEX_Dau_tu'!$G$32/60, 0)</f>
        <v>35.674629800000012</v>
      </c>
      <c r="W14" s="26">
        <f t="shared" si="10"/>
        <v>2530.9919391726003</v>
      </c>
      <c r="X14" s="26">
        <f>IF(W14&gt;0, W14*'03_Gia_dinh_Vi_mo'!$C$11, 0)</f>
        <v>506.19838783452008</v>
      </c>
      <c r="Y14" s="26">
        <f t="shared" si="11"/>
        <v>2024.7935513380803</v>
      </c>
      <c r="Z14" s="26">
        <f t="shared" si="12"/>
        <v>2060.4681811380801</v>
      </c>
      <c r="AA14" s="26">
        <f t="shared" si="13"/>
        <v>10629.047713688318</v>
      </c>
      <c r="AB14" s="26">
        <f t="shared" si="1"/>
        <v>1855.4212748021489</v>
      </c>
      <c r="AC14" s="26">
        <f>'03_Gia_dinh_Vi_mo'!$C$24*C14*D14</f>
        <v>5200</v>
      </c>
      <c r="AD14" s="26">
        <f>AC14*'03_Gia_dinh_Vi_mo'!$C$17</f>
        <v>1040</v>
      </c>
      <c r="AE14" s="26">
        <f>'03_Gia_dinh_Vi_mo'!$F$40*E14</f>
        <v>345.33343102740002</v>
      </c>
      <c r="AF14" s="26">
        <f t="shared" si="14"/>
        <v>3814.6665689726001</v>
      </c>
      <c r="AG14" s="26">
        <f>IF(A14&lt;=60, '06_CAPEX_Dau_tu'!$G$32/60, 0)</f>
        <v>35.674629800000012</v>
      </c>
      <c r="AH14" s="26">
        <f t="shared" si="15"/>
        <v>3778.9919391726003</v>
      </c>
      <c r="AI14" s="26">
        <f>IF(AH14&gt;0, AH14*'03_Gia_dinh_Vi_mo'!$C$11, 0)</f>
        <v>755.7983878345201</v>
      </c>
      <c r="AJ14" s="26">
        <f t="shared" si="16"/>
        <v>3023.1935513380804</v>
      </c>
      <c r="AK14" s="26">
        <f t="shared" si="17"/>
        <v>3058.8681811380802</v>
      </c>
      <c r="AL14" s="26">
        <f t="shared" si="18"/>
        <v>17617.847713688323</v>
      </c>
      <c r="AM14" s="26">
        <f t="shared" si="2"/>
        <v>2754.4657821234318</v>
      </c>
    </row>
    <row r="15" spans="1:39" ht="20.100000000000001" customHeight="1" x14ac:dyDescent="0.2">
      <c r="A15" s="9">
        <v>10</v>
      </c>
      <c r="B15" s="9">
        <f t="shared" si="3"/>
        <v>1</v>
      </c>
      <c r="C15" s="82">
        <f>'03_Gia_dinh_Vi_mo'!$G$44</f>
        <v>1</v>
      </c>
      <c r="D15" s="83">
        <f>(1+'03_Gia_dinh_Vi_mo'!$C$10)^(B15-1)</f>
        <v>1</v>
      </c>
      <c r="E15" s="83">
        <f>(1+'03_Gia_dinh_Vi_mo'!$C$9)^(B15-1)</f>
        <v>1</v>
      </c>
      <c r="F15" s="83">
        <f>1/(1+'03_Gia_dinh_Vi_mo'!$C$12)^(A15/12)</f>
        <v>0.89005832445056143</v>
      </c>
      <c r="G15" s="26">
        <f>'03_Gia_dinh_Vi_mo'!$C$22*C15*D15</f>
        <v>2080</v>
      </c>
      <c r="H15" s="26">
        <f>G15*'03_Gia_dinh_Vi_mo'!$C$17</f>
        <v>416</v>
      </c>
      <c r="I15" s="26">
        <f>'03_Gia_dinh_Vi_mo'!$F$40*E15</f>
        <v>345.33343102740002</v>
      </c>
      <c r="J15" s="26">
        <f t="shared" si="4"/>
        <v>1318.6665689726001</v>
      </c>
      <c r="K15" s="26">
        <f>IF(A15&lt;=60, '06_CAPEX_Dau_tu'!$G$32/60, 0)</f>
        <v>35.674629800000012</v>
      </c>
      <c r="L15" s="26">
        <f t="shared" si="5"/>
        <v>1282.9919391726</v>
      </c>
      <c r="M15" s="26">
        <f>IF(L15&gt;0, L15*'03_Gia_dinh_Vi_mo'!$C$11, 0)</f>
        <v>256.59838783452</v>
      </c>
      <c r="N15" s="26">
        <f t="shared" si="6"/>
        <v>1026.39355133808</v>
      </c>
      <c r="O15" s="26">
        <f t="shared" si="7"/>
        <v>1062.06818113808</v>
      </c>
      <c r="P15" s="26">
        <f t="shared" si="8"/>
        <v>4702.315894826399</v>
      </c>
      <c r="Q15" s="26">
        <f t="shared" si="0"/>
        <v>945.30262575601489</v>
      </c>
      <c r="R15" s="26">
        <f>'03_Gia_dinh_Vi_mo'!$C$23*C15*D15</f>
        <v>3640</v>
      </c>
      <c r="S15" s="26">
        <f>R15*'03_Gia_dinh_Vi_mo'!$C$17</f>
        <v>728</v>
      </c>
      <c r="T15" s="26">
        <f>'03_Gia_dinh_Vi_mo'!$F$40*E15</f>
        <v>345.33343102740002</v>
      </c>
      <c r="U15" s="26">
        <f t="shared" si="9"/>
        <v>2566.6665689726001</v>
      </c>
      <c r="V15" s="26">
        <f>IF(A15&lt;=60, '06_CAPEX_Dau_tu'!$G$32/60, 0)</f>
        <v>35.674629800000012</v>
      </c>
      <c r="W15" s="26">
        <f t="shared" si="10"/>
        <v>2530.9919391726003</v>
      </c>
      <c r="X15" s="26">
        <f>IF(W15&gt;0, W15*'03_Gia_dinh_Vi_mo'!$C$11, 0)</f>
        <v>506.19838783452008</v>
      </c>
      <c r="Y15" s="26">
        <f t="shared" si="11"/>
        <v>2024.7935513380803</v>
      </c>
      <c r="Z15" s="26">
        <f t="shared" si="12"/>
        <v>2060.4681811380801</v>
      </c>
      <c r="AA15" s="26">
        <f t="shared" si="13"/>
        <v>12689.515894826398</v>
      </c>
      <c r="AB15" s="26">
        <f t="shared" si="1"/>
        <v>1833.9368568874554</v>
      </c>
      <c r="AC15" s="26">
        <f>'03_Gia_dinh_Vi_mo'!$C$24*C15*D15</f>
        <v>5200</v>
      </c>
      <c r="AD15" s="26">
        <f>AC15*'03_Gia_dinh_Vi_mo'!$C$17</f>
        <v>1040</v>
      </c>
      <c r="AE15" s="26">
        <f>'03_Gia_dinh_Vi_mo'!$F$40*E15</f>
        <v>345.33343102740002</v>
      </c>
      <c r="AF15" s="26">
        <f t="shared" si="14"/>
        <v>3814.6665689726001</v>
      </c>
      <c r="AG15" s="26">
        <f>IF(A15&lt;=60, '06_CAPEX_Dau_tu'!$G$32/60, 0)</f>
        <v>35.674629800000012</v>
      </c>
      <c r="AH15" s="26">
        <f t="shared" si="15"/>
        <v>3778.9919391726003</v>
      </c>
      <c r="AI15" s="26">
        <f>IF(AH15&gt;0, AH15*'03_Gia_dinh_Vi_mo'!$C$11, 0)</f>
        <v>755.7983878345201</v>
      </c>
      <c r="AJ15" s="26">
        <f t="shared" si="16"/>
        <v>3023.1935513380804</v>
      </c>
      <c r="AK15" s="26">
        <f t="shared" si="17"/>
        <v>3058.8681811380802</v>
      </c>
      <c r="AL15" s="26">
        <f t="shared" si="18"/>
        <v>20676.715894826404</v>
      </c>
      <c r="AM15" s="26">
        <f t="shared" si="2"/>
        <v>2722.5710880188963</v>
      </c>
    </row>
    <row r="16" spans="1:39" ht="20.100000000000001" customHeight="1" x14ac:dyDescent="0.2">
      <c r="A16" s="9">
        <v>11</v>
      </c>
      <c r="B16" s="9">
        <f t="shared" si="3"/>
        <v>1</v>
      </c>
      <c r="C16" s="82">
        <f>'03_Gia_dinh_Vi_mo'!$G$44</f>
        <v>1</v>
      </c>
      <c r="D16" s="83">
        <f>(1+'03_Gia_dinh_Vi_mo'!$C$10)^(B16-1)</f>
        <v>1</v>
      </c>
      <c r="E16" s="83">
        <f>(1+'03_Gia_dinh_Vi_mo'!$C$9)^(B16-1)</f>
        <v>1</v>
      </c>
      <c r="F16" s="83">
        <f>1/(1+'03_Gia_dinh_Vi_mo'!$C$12)^(A16/12)</f>
        <v>0.87975210166943774</v>
      </c>
      <c r="G16" s="26">
        <f>'03_Gia_dinh_Vi_mo'!$C$22*C16*D16</f>
        <v>2080</v>
      </c>
      <c r="H16" s="26">
        <f>G16*'03_Gia_dinh_Vi_mo'!$C$17</f>
        <v>416</v>
      </c>
      <c r="I16" s="26">
        <f>'03_Gia_dinh_Vi_mo'!$F$40*E16</f>
        <v>345.33343102740002</v>
      </c>
      <c r="J16" s="26">
        <f t="shared" si="4"/>
        <v>1318.6665689726001</v>
      </c>
      <c r="K16" s="26">
        <f>IF(A16&lt;=60, '06_CAPEX_Dau_tu'!$G$32/60, 0)</f>
        <v>35.674629800000012</v>
      </c>
      <c r="L16" s="26">
        <f t="shared" si="5"/>
        <v>1282.9919391726</v>
      </c>
      <c r="M16" s="26">
        <f>IF(L16&gt;0, L16*'03_Gia_dinh_Vi_mo'!$C$11, 0)</f>
        <v>256.59838783452</v>
      </c>
      <c r="N16" s="26">
        <f t="shared" si="6"/>
        <v>1026.39355133808</v>
      </c>
      <c r="O16" s="26">
        <f t="shared" si="7"/>
        <v>1062.06818113808</v>
      </c>
      <c r="P16" s="26">
        <f t="shared" si="8"/>
        <v>5764.3840759644791</v>
      </c>
      <c r="Q16" s="26">
        <f t="shared" si="0"/>
        <v>934.35671447246295</v>
      </c>
      <c r="R16" s="26">
        <f>'03_Gia_dinh_Vi_mo'!$C$23*C16*D16</f>
        <v>3640</v>
      </c>
      <c r="S16" s="26">
        <f>R16*'03_Gia_dinh_Vi_mo'!$C$17</f>
        <v>728</v>
      </c>
      <c r="T16" s="26">
        <f>'03_Gia_dinh_Vi_mo'!$F$40*E16</f>
        <v>345.33343102740002</v>
      </c>
      <c r="U16" s="26">
        <f t="shared" si="9"/>
        <v>2566.6665689726001</v>
      </c>
      <c r="V16" s="26">
        <f>IF(A16&lt;=60, '06_CAPEX_Dau_tu'!$G$32/60, 0)</f>
        <v>35.674629800000012</v>
      </c>
      <c r="W16" s="26">
        <f t="shared" si="10"/>
        <v>2530.9919391726003</v>
      </c>
      <c r="X16" s="26">
        <f>IF(W16&gt;0, W16*'03_Gia_dinh_Vi_mo'!$C$11, 0)</f>
        <v>506.19838783452008</v>
      </c>
      <c r="Y16" s="26">
        <f t="shared" si="11"/>
        <v>2024.7935513380803</v>
      </c>
      <c r="Z16" s="26">
        <f t="shared" si="12"/>
        <v>2060.4681811380801</v>
      </c>
      <c r="AA16" s="26">
        <f t="shared" si="13"/>
        <v>14749.984075964478</v>
      </c>
      <c r="AB16" s="26">
        <f t="shared" si="1"/>
        <v>1812.7012127792298</v>
      </c>
      <c r="AC16" s="26">
        <f>'03_Gia_dinh_Vi_mo'!$C$24*C16*D16</f>
        <v>5200</v>
      </c>
      <c r="AD16" s="26">
        <f>AC16*'03_Gia_dinh_Vi_mo'!$C$17</f>
        <v>1040</v>
      </c>
      <c r="AE16" s="26">
        <f>'03_Gia_dinh_Vi_mo'!$F$40*E16</f>
        <v>345.33343102740002</v>
      </c>
      <c r="AF16" s="26">
        <f t="shared" si="14"/>
        <v>3814.6665689726001</v>
      </c>
      <c r="AG16" s="26">
        <f>IF(A16&lt;=60, '06_CAPEX_Dau_tu'!$G$32/60, 0)</f>
        <v>35.674629800000012</v>
      </c>
      <c r="AH16" s="26">
        <f t="shared" si="15"/>
        <v>3778.9919391726003</v>
      </c>
      <c r="AI16" s="26">
        <f>IF(AH16&gt;0, AH16*'03_Gia_dinh_Vi_mo'!$C$11, 0)</f>
        <v>755.7983878345201</v>
      </c>
      <c r="AJ16" s="26">
        <f t="shared" si="16"/>
        <v>3023.1935513380804</v>
      </c>
      <c r="AK16" s="26">
        <f t="shared" si="17"/>
        <v>3058.8681811380802</v>
      </c>
      <c r="AL16" s="26">
        <f t="shared" si="18"/>
        <v>23735.584075964485</v>
      </c>
      <c r="AM16" s="26">
        <f t="shared" si="2"/>
        <v>2691.0457110859966</v>
      </c>
    </row>
    <row r="17" spans="1:39" ht="20.100000000000001" customHeight="1" x14ac:dyDescent="0.2">
      <c r="A17" s="9">
        <v>12</v>
      </c>
      <c r="B17" s="9">
        <f t="shared" si="3"/>
        <v>1</v>
      </c>
      <c r="C17" s="82">
        <f>'03_Gia_dinh_Vi_mo'!$G$44</f>
        <v>1</v>
      </c>
      <c r="D17" s="83">
        <f>(1+'03_Gia_dinh_Vi_mo'!$C$10)^(B17-1)</f>
        <v>1</v>
      </c>
      <c r="E17" s="83">
        <f>(1+'03_Gia_dinh_Vi_mo'!$C$9)^(B17-1)</f>
        <v>1</v>
      </c>
      <c r="F17" s="83">
        <f>1/(1+'03_Gia_dinh_Vi_mo'!$C$12)^(A17/12)</f>
        <v>0.86956521739130443</v>
      </c>
      <c r="G17" s="26">
        <f>'03_Gia_dinh_Vi_mo'!$C$22*C17*D17</f>
        <v>2080</v>
      </c>
      <c r="H17" s="26">
        <f>G17*'03_Gia_dinh_Vi_mo'!$C$17</f>
        <v>416</v>
      </c>
      <c r="I17" s="26">
        <f>'03_Gia_dinh_Vi_mo'!$F$40*E17</f>
        <v>345.33343102740002</v>
      </c>
      <c r="J17" s="26">
        <f t="shared" si="4"/>
        <v>1318.6665689726001</v>
      </c>
      <c r="K17" s="26">
        <f>IF(A17&lt;=60, '06_CAPEX_Dau_tu'!$G$32/60, 0)</f>
        <v>35.674629800000012</v>
      </c>
      <c r="L17" s="26">
        <f t="shared" si="5"/>
        <v>1282.9919391726</v>
      </c>
      <c r="M17" s="26">
        <f>IF(L17&gt;0, L17*'03_Gia_dinh_Vi_mo'!$C$11, 0)</f>
        <v>256.59838783452</v>
      </c>
      <c r="N17" s="26">
        <f t="shared" si="6"/>
        <v>1026.39355133808</v>
      </c>
      <c r="O17" s="26">
        <f t="shared" si="7"/>
        <v>1062.06818113808</v>
      </c>
      <c r="P17" s="26">
        <f t="shared" si="8"/>
        <v>6826.4522571025591</v>
      </c>
      <c r="Q17" s="26">
        <f t="shared" si="0"/>
        <v>923.53754881572183</v>
      </c>
      <c r="R17" s="26">
        <f>'03_Gia_dinh_Vi_mo'!$C$23*C17*D17</f>
        <v>3640</v>
      </c>
      <c r="S17" s="26">
        <f>R17*'03_Gia_dinh_Vi_mo'!$C$17</f>
        <v>728</v>
      </c>
      <c r="T17" s="26">
        <f>'03_Gia_dinh_Vi_mo'!$F$40*E17</f>
        <v>345.33343102740002</v>
      </c>
      <c r="U17" s="26">
        <f t="shared" si="9"/>
        <v>2566.6665689726001</v>
      </c>
      <c r="V17" s="26">
        <f>IF(A17&lt;=60, '06_CAPEX_Dau_tu'!$G$32/60, 0)</f>
        <v>35.674629800000012</v>
      </c>
      <c r="W17" s="26">
        <f t="shared" si="10"/>
        <v>2530.9919391726003</v>
      </c>
      <c r="X17" s="26">
        <f>IF(W17&gt;0, W17*'03_Gia_dinh_Vi_mo'!$C$11, 0)</f>
        <v>506.19838783452008</v>
      </c>
      <c r="Y17" s="26">
        <f t="shared" si="11"/>
        <v>2024.7935513380803</v>
      </c>
      <c r="Z17" s="26">
        <f t="shared" si="12"/>
        <v>2060.4681811380801</v>
      </c>
      <c r="AA17" s="26">
        <f t="shared" si="13"/>
        <v>16810.452257102559</v>
      </c>
      <c r="AB17" s="26">
        <f t="shared" si="1"/>
        <v>1791.7114618592002</v>
      </c>
      <c r="AC17" s="26">
        <f>'03_Gia_dinh_Vi_mo'!$C$24*C17*D17</f>
        <v>5200</v>
      </c>
      <c r="AD17" s="26">
        <f>AC17*'03_Gia_dinh_Vi_mo'!$C$17</f>
        <v>1040</v>
      </c>
      <c r="AE17" s="26">
        <f>'03_Gia_dinh_Vi_mo'!$F$40*E17</f>
        <v>345.33343102740002</v>
      </c>
      <c r="AF17" s="26">
        <f t="shared" si="14"/>
        <v>3814.6665689726001</v>
      </c>
      <c r="AG17" s="26">
        <f>IF(A17&lt;=60, '06_CAPEX_Dau_tu'!$G$32/60, 0)</f>
        <v>35.674629800000012</v>
      </c>
      <c r="AH17" s="26">
        <f t="shared" si="15"/>
        <v>3778.9919391726003</v>
      </c>
      <c r="AI17" s="26">
        <f>IF(AH17&gt;0, AH17*'03_Gia_dinh_Vi_mo'!$C$11, 0)</f>
        <v>755.7983878345201</v>
      </c>
      <c r="AJ17" s="26">
        <f t="shared" si="16"/>
        <v>3023.1935513380804</v>
      </c>
      <c r="AK17" s="26">
        <f t="shared" si="17"/>
        <v>3058.8681811380802</v>
      </c>
      <c r="AL17" s="26">
        <f t="shared" si="18"/>
        <v>26794.452257102566</v>
      </c>
      <c r="AM17" s="26">
        <f t="shared" si="2"/>
        <v>2659.8853749026789</v>
      </c>
    </row>
    <row r="18" spans="1:39" ht="20.100000000000001" customHeight="1" x14ac:dyDescent="0.2">
      <c r="A18" s="9">
        <v>13</v>
      </c>
      <c r="B18" s="9">
        <f t="shared" si="3"/>
        <v>2</v>
      </c>
      <c r="C18" s="82">
        <f>'03_Gia_dinh_Vi_mo'!$G$44</f>
        <v>1</v>
      </c>
      <c r="D18" s="83">
        <f>(1+'03_Gia_dinh_Vi_mo'!$C$10)^(B18-1)</f>
        <v>1.03</v>
      </c>
      <c r="E18" s="83">
        <f>(1+'03_Gia_dinh_Vi_mo'!$C$9)^(B18-1)</f>
        <v>1.0780000000000001</v>
      </c>
      <c r="F18" s="83">
        <f>1/(1+'03_Gia_dinh_Vi_mo'!$C$12)^(A18/12)</f>
        <v>0.85949628976379933</v>
      </c>
      <c r="G18" s="26">
        <f>'03_Gia_dinh_Vi_mo'!$C$22*C18*D18</f>
        <v>2142.4</v>
      </c>
      <c r="H18" s="26">
        <f>G18*'03_Gia_dinh_Vi_mo'!$C$17</f>
        <v>428.48</v>
      </c>
      <c r="I18" s="26">
        <f>'03_Gia_dinh_Vi_mo'!$F$40*E18</f>
        <v>372.26943864753724</v>
      </c>
      <c r="J18" s="26">
        <f t="shared" si="4"/>
        <v>1341.6505613524628</v>
      </c>
      <c r="K18" s="26">
        <f>IF(A18&lt;=60, '06_CAPEX_Dau_tu'!$G$32/60, 0)</f>
        <v>35.674629800000012</v>
      </c>
      <c r="L18" s="26">
        <f t="shared" si="5"/>
        <v>1305.9759315524627</v>
      </c>
      <c r="M18" s="26">
        <f>IF(L18&gt;0, L18*'03_Gia_dinh_Vi_mo'!$C$11, 0)</f>
        <v>261.19518631049255</v>
      </c>
      <c r="N18" s="26">
        <f t="shared" si="6"/>
        <v>1044.7807452419702</v>
      </c>
      <c r="O18" s="26">
        <f t="shared" si="7"/>
        <v>1080.4553750419702</v>
      </c>
      <c r="P18" s="26">
        <f t="shared" si="8"/>
        <v>7906.9076321445291</v>
      </c>
      <c r="Q18" s="26">
        <f t="shared" si="0"/>
        <v>928.64738610392772</v>
      </c>
      <c r="R18" s="26">
        <f>'03_Gia_dinh_Vi_mo'!$C$23*C18*D18</f>
        <v>3749.2000000000003</v>
      </c>
      <c r="S18" s="26">
        <f>R18*'03_Gia_dinh_Vi_mo'!$C$17</f>
        <v>749.84000000000015</v>
      </c>
      <c r="T18" s="26">
        <f>'03_Gia_dinh_Vi_mo'!$F$40*E18</f>
        <v>372.26943864753724</v>
      </c>
      <c r="U18" s="26">
        <f t="shared" si="9"/>
        <v>2627.0905613524628</v>
      </c>
      <c r="V18" s="26">
        <f>IF(A18&lt;=60, '06_CAPEX_Dau_tu'!$G$32/60, 0)</f>
        <v>35.674629800000012</v>
      </c>
      <c r="W18" s="26">
        <f t="shared" si="10"/>
        <v>2591.415931552463</v>
      </c>
      <c r="X18" s="26">
        <f>IF(W18&gt;0, W18*'03_Gia_dinh_Vi_mo'!$C$11, 0)</f>
        <v>518.28318631049262</v>
      </c>
      <c r="Y18" s="26">
        <f t="shared" si="11"/>
        <v>2073.1327452419705</v>
      </c>
      <c r="Z18" s="26">
        <f t="shared" si="12"/>
        <v>2108.8073750419703</v>
      </c>
      <c r="AA18" s="26">
        <f t="shared" si="13"/>
        <v>18919.259632144531</v>
      </c>
      <c r="AB18" s="26">
        <f t="shared" si="1"/>
        <v>1812.5121146751103</v>
      </c>
      <c r="AC18" s="26">
        <f>'03_Gia_dinh_Vi_mo'!$C$24*C18*D18</f>
        <v>5356</v>
      </c>
      <c r="AD18" s="26">
        <f>AC18*'03_Gia_dinh_Vi_mo'!$C$17</f>
        <v>1071.2</v>
      </c>
      <c r="AE18" s="26">
        <f>'03_Gia_dinh_Vi_mo'!$F$40*E18</f>
        <v>372.26943864753724</v>
      </c>
      <c r="AF18" s="26">
        <f t="shared" si="14"/>
        <v>3912.5305613524629</v>
      </c>
      <c r="AG18" s="26">
        <f>IF(A18&lt;=60, '06_CAPEX_Dau_tu'!$G$32/60, 0)</f>
        <v>35.674629800000012</v>
      </c>
      <c r="AH18" s="26">
        <f t="shared" si="15"/>
        <v>3876.8559315524631</v>
      </c>
      <c r="AI18" s="26">
        <f>IF(AH18&gt;0, AH18*'03_Gia_dinh_Vi_mo'!$C$11, 0)</f>
        <v>775.3711863104927</v>
      </c>
      <c r="AJ18" s="26">
        <f t="shared" si="16"/>
        <v>3101.4847452419704</v>
      </c>
      <c r="AK18" s="26">
        <f t="shared" si="17"/>
        <v>3137.1593750419702</v>
      </c>
      <c r="AL18" s="26">
        <f t="shared" si="18"/>
        <v>29931.611632144537</v>
      </c>
      <c r="AM18" s="26">
        <f t="shared" si="2"/>
        <v>2696.376843246293</v>
      </c>
    </row>
    <row r="19" spans="1:39" ht="20.100000000000001" customHeight="1" x14ac:dyDescent="0.2">
      <c r="A19" s="9">
        <v>14</v>
      </c>
      <c r="B19" s="9">
        <f t="shared" si="3"/>
        <v>2</v>
      </c>
      <c r="C19" s="82">
        <f>'03_Gia_dinh_Vi_mo'!$G$44</f>
        <v>1</v>
      </c>
      <c r="D19" s="83">
        <f>(1+'03_Gia_dinh_Vi_mo'!$C$10)^(B19-1)</f>
        <v>1.03</v>
      </c>
      <c r="E19" s="83">
        <f>(1+'03_Gia_dinh_Vi_mo'!$C$9)^(B19-1)</f>
        <v>1.0780000000000001</v>
      </c>
      <c r="F19" s="83">
        <f>1/(1+'03_Gia_dinh_Vi_mo'!$C$12)^(A19/12)</f>
        <v>0.84954395293539742</v>
      </c>
      <c r="G19" s="26">
        <f>'03_Gia_dinh_Vi_mo'!$C$22*C19*D19</f>
        <v>2142.4</v>
      </c>
      <c r="H19" s="26">
        <f>G19*'03_Gia_dinh_Vi_mo'!$C$17</f>
        <v>428.48</v>
      </c>
      <c r="I19" s="26">
        <f>'03_Gia_dinh_Vi_mo'!$F$40*E19</f>
        <v>372.26943864753724</v>
      </c>
      <c r="J19" s="26">
        <f t="shared" si="4"/>
        <v>1341.6505613524628</v>
      </c>
      <c r="K19" s="26">
        <f>IF(A19&lt;=60, '06_CAPEX_Dau_tu'!$G$32/60, 0)</f>
        <v>35.674629800000012</v>
      </c>
      <c r="L19" s="26">
        <f t="shared" si="5"/>
        <v>1305.9759315524627</v>
      </c>
      <c r="M19" s="26">
        <f>IF(L19&gt;0, L19*'03_Gia_dinh_Vi_mo'!$C$11, 0)</f>
        <v>261.19518631049255</v>
      </c>
      <c r="N19" s="26">
        <f t="shared" si="6"/>
        <v>1044.7807452419702</v>
      </c>
      <c r="O19" s="26">
        <f t="shared" si="7"/>
        <v>1080.4553750419702</v>
      </c>
      <c r="P19" s="26">
        <f t="shared" si="8"/>
        <v>8987.3630071864991</v>
      </c>
      <c r="Q19" s="26">
        <f t="shared" si="0"/>
        <v>917.89433028345275</v>
      </c>
      <c r="R19" s="26">
        <f>'03_Gia_dinh_Vi_mo'!$C$23*C19*D19</f>
        <v>3749.2000000000003</v>
      </c>
      <c r="S19" s="26">
        <f>R19*'03_Gia_dinh_Vi_mo'!$C$17</f>
        <v>749.84000000000015</v>
      </c>
      <c r="T19" s="26">
        <f>'03_Gia_dinh_Vi_mo'!$F$40*E19</f>
        <v>372.26943864753724</v>
      </c>
      <c r="U19" s="26">
        <f t="shared" si="9"/>
        <v>2627.0905613524628</v>
      </c>
      <c r="V19" s="26">
        <f>IF(A19&lt;=60, '06_CAPEX_Dau_tu'!$G$32/60, 0)</f>
        <v>35.674629800000012</v>
      </c>
      <c r="W19" s="26">
        <f t="shared" si="10"/>
        <v>2591.415931552463</v>
      </c>
      <c r="X19" s="26">
        <f>IF(W19&gt;0, W19*'03_Gia_dinh_Vi_mo'!$C$11, 0)</f>
        <v>518.28318631049262</v>
      </c>
      <c r="Y19" s="26">
        <f t="shared" si="11"/>
        <v>2073.1327452419705</v>
      </c>
      <c r="Z19" s="26">
        <f t="shared" si="12"/>
        <v>2108.8073750419703</v>
      </c>
      <c r="AA19" s="26">
        <f t="shared" si="13"/>
        <v>21028.067007186502</v>
      </c>
      <c r="AB19" s="26">
        <f t="shared" si="1"/>
        <v>1791.5245533724747</v>
      </c>
      <c r="AC19" s="26">
        <f>'03_Gia_dinh_Vi_mo'!$C$24*C19*D19</f>
        <v>5356</v>
      </c>
      <c r="AD19" s="26">
        <f>AC19*'03_Gia_dinh_Vi_mo'!$C$17</f>
        <v>1071.2</v>
      </c>
      <c r="AE19" s="26">
        <f>'03_Gia_dinh_Vi_mo'!$F$40*E19</f>
        <v>372.26943864753724</v>
      </c>
      <c r="AF19" s="26">
        <f t="shared" si="14"/>
        <v>3912.5305613524629</v>
      </c>
      <c r="AG19" s="26">
        <f>IF(A19&lt;=60, '06_CAPEX_Dau_tu'!$G$32/60, 0)</f>
        <v>35.674629800000012</v>
      </c>
      <c r="AH19" s="26">
        <f t="shared" si="15"/>
        <v>3876.8559315524631</v>
      </c>
      <c r="AI19" s="26">
        <f>IF(AH19&gt;0, AH19*'03_Gia_dinh_Vi_mo'!$C$11, 0)</f>
        <v>775.3711863104927</v>
      </c>
      <c r="AJ19" s="26">
        <f t="shared" si="16"/>
        <v>3101.4847452419704</v>
      </c>
      <c r="AK19" s="26">
        <f t="shared" si="17"/>
        <v>3137.1593750419702</v>
      </c>
      <c r="AL19" s="26">
        <f t="shared" si="18"/>
        <v>33068.771007186508</v>
      </c>
      <c r="AM19" s="26">
        <f t="shared" si="2"/>
        <v>2665.1547764614961</v>
      </c>
    </row>
    <row r="20" spans="1:39" ht="20.100000000000001" customHeight="1" x14ac:dyDescent="0.2">
      <c r="A20" s="9">
        <v>15</v>
      </c>
      <c r="B20" s="9">
        <f t="shared" si="3"/>
        <v>2</v>
      </c>
      <c r="C20" s="82">
        <f>'03_Gia_dinh_Vi_mo'!$G$44</f>
        <v>1</v>
      </c>
      <c r="D20" s="83">
        <f>(1+'03_Gia_dinh_Vi_mo'!$C$10)^(B20-1)</f>
        <v>1.03</v>
      </c>
      <c r="E20" s="83">
        <f>(1+'03_Gia_dinh_Vi_mo'!$C$9)^(B20-1)</f>
        <v>1.0780000000000001</v>
      </c>
      <c r="F20" s="83">
        <f>1/(1+'03_Gia_dinh_Vi_mo'!$C$12)^(A20/12)</f>
        <v>0.83970685687013269</v>
      </c>
      <c r="G20" s="26">
        <f>'03_Gia_dinh_Vi_mo'!$C$22*C20*D20</f>
        <v>2142.4</v>
      </c>
      <c r="H20" s="26">
        <f>G20*'03_Gia_dinh_Vi_mo'!$C$17</f>
        <v>428.48</v>
      </c>
      <c r="I20" s="26">
        <f>'03_Gia_dinh_Vi_mo'!$F$40*E20</f>
        <v>372.26943864753724</v>
      </c>
      <c r="J20" s="26">
        <f t="shared" si="4"/>
        <v>1341.6505613524628</v>
      </c>
      <c r="K20" s="26">
        <f>IF(A20&lt;=60, '06_CAPEX_Dau_tu'!$G$32/60, 0)</f>
        <v>35.674629800000012</v>
      </c>
      <c r="L20" s="26">
        <f t="shared" si="5"/>
        <v>1305.9759315524627</v>
      </c>
      <c r="M20" s="26">
        <f>IF(L20&gt;0, L20*'03_Gia_dinh_Vi_mo'!$C$11, 0)</f>
        <v>261.19518631049255</v>
      </c>
      <c r="N20" s="26">
        <f t="shared" si="6"/>
        <v>1044.7807452419702</v>
      </c>
      <c r="O20" s="26">
        <f t="shared" si="7"/>
        <v>1080.4553750419702</v>
      </c>
      <c r="P20" s="26">
        <f t="shared" si="8"/>
        <v>10067.81838222847</v>
      </c>
      <c r="Q20" s="26">
        <f t="shared" si="0"/>
        <v>907.26578696493323</v>
      </c>
      <c r="R20" s="26">
        <f>'03_Gia_dinh_Vi_mo'!$C$23*C20*D20</f>
        <v>3749.2000000000003</v>
      </c>
      <c r="S20" s="26">
        <f>R20*'03_Gia_dinh_Vi_mo'!$C$17</f>
        <v>749.84000000000015</v>
      </c>
      <c r="T20" s="26">
        <f>'03_Gia_dinh_Vi_mo'!$F$40*E20</f>
        <v>372.26943864753724</v>
      </c>
      <c r="U20" s="26">
        <f t="shared" si="9"/>
        <v>2627.0905613524628</v>
      </c>
      <c r="V20" s="26">
        <f>IF(A20&lt;=60, '06_CAPEX_Dau_tu'!$G$32/60, 0)</f>
        <v>35.674629800000012</v>
      </c>
      <c r="W20" s="26">
        <f t="shared" si="10"/>
        <v>2591.415931552463</v>
      </c>
      <c r="X20" s="26">
        <f>IF(W20&gt;0, W20*'03_Gia_dinh_Vi_mo'!$C$11, 0)</f>
        <v>518.28318631049262</v>
      </c>
      <c r="Y20" s="26">
        <f t="shared" si="11"/>
        <v>2073.1327452419705</v>
      </c>
      <c r="Z20" s="26">
        <f t="shared" si="12"/>
        <v>2108.8073750419703</v>
      </c>
      <c r="AA20" s="26">
        <f t="shared" si="13"/>
        <v>23136.874382228474</v>
      </c>
      <c r="AB20" s="26">
        <f t="shared" si="1"/>
        <v>1770.780012641048</v>
      </c>
      <c r="AC20" s="26">
        <f>'03_Gia_dinh_Vi_mo'!$C$24*C20*D20</f>
        <v>5356</v>
      </c>
      <c r="AD20" s="26">
        <f>AC20*'03_Gia_dinh_Vi_mo'!$C$17</f>
        <v>1071.2</v>
      </c>
      <c r="AE20" s="26">
        <f>'03_Gia_dinh_Vi_mo'!$F$40*E20</f>
        <v>372.26943864753724</v>
      </c>
      <c r="AF20" s="26">
        <f t="shared" si="14"/>
        <v>3912.5305613524629</v>
      </c>
      <c r="AG20" s="26">
        <f>IF(A20&lt;=60, '06_CAPEX_Dau_tu'!$G$32/60, 0)</f>
        <v>35.674629800000012</v>
      </c>
      <c r="AH20" s="26">
        <f t="shared" si="15"/>
        <v>3876.8559315524631</v>
      </c>
      <c r="AI20" s="26">
        <f>IF(AH20&gt;0, AH20*'03_Gia_dinh_Vi_mo'!$C$11, 0)</f>
        <v>775.3711863104927</v>
      </c>
      <c r="AJ20" s="26">
        <f t="shared" si="16"/>
        <v>3101.4847452419704</v>
      </c>
      <c r="AK20" s="26">
        <f t="shared" si="17"/>
        <v>3137.1593750419702</v>
      </c>
      <c r="AL20" s="26">
        <f t="shared" si="18"/>
        <v>36205.930382228478</v>
      </c>
      <c r="AM20" s="26">
        <f t="shared" si="2"/>
        <v>2634.2942383171626</v>
      </c>
    </row>
    <row r="21" spans="1:39" ht="20.100000000000001" customHeight="1" x14ac:dyDescent="0.2">
      <c r="A21" s="9">
        <v>16</v>
      </c>
      <c r="B21" s="9">
        <f t="shared" si="3"/>
        <v>2</v>
      </c>
      <c r="C21" s="82">
        <f>'03_Gia_dinh_Vi_mo'!$G$44</f>
        <v>1</v>
      </c>
      <c r="D21" s="83">
        <f>(1+'03_Gia_dinh_Vi_mo'!$C$10)^(B21-1)</f>
        <v>1.03</v>
      </c>
      <c r="E21" s="83">
        <f>(1+'03_Gia_dinh_Vi_mo'!$C$9)^(B21-1)</f>
        <v>1.0780000000000001</v>
      </c>
      <c r="F21" s="83">
        <f>1/(1+'03_Gia_dinh_Vi_mo'!$C$12)^(A21/12)</f>
        <v>0.8299836671644657</v>
      </c>
      <c r="G21" s="26">
        <f>'03_Gia_dinh_Vi_mo'!$C$22*C21*D21</f>
        <v>2142.4</v>
      </c>
      <c r="H21" s="26">
        <f>G21*'03_Gia_dinh_Vi_mo'!$C$17</f>
        <v>428.48</v>
      </c>
      <c r="I21" s="26">
        <f>'03_Gia_dinh_Vi_mo'!$F$40*E21</f>
        <v>372.26943864753724</v>
      </c>
      <c r="J21" s="26">
        <f t="shared" si="4"/>
        <v>1341.6505613524628</v>
      </c>
      <c r="K21" s="26">
        <f>IF(A21&lt;=60, '06_CAPEX_Dau_tu'!$G$32/60, 0)</f>
        <v>35.674629800000012</v>
      </c>
      <c r="L21" s="26">
        <f t="shared" si="5"/>
        <v>1305.9759315524627</v>
      </c>
      <c r="M21" s="26">
        <f>IF(L21&gt;0, L21*'03_Gia_dinh_Vi_mo'!$C$11, 0)</f>
        <v>261.19518631049255</v>
      </c>
      <c r="N21" s="26">
        <f t="shared" si="6"/>
        <v>1044.7807452419702</v>
      </c>
      <c r="O21" s="26">
        <f t="shared" si="7"/>
        <v>1080.4553750419702</v>
      </c>
      <c r="P21" s="26">
        <f t="shared" si="8"/>
        <v>11148.273757270441</v>
      </c>
      <c r="Q21" s="26">
        <f t="shared" si="0"/>
        <v>896.76031438489258</v>
      </c>
      <c r="R21" s="26">
        <f>'03_Gia_dinh_Vi_mo'!$C$23*C21*D21</f>
        <v>3749.2000000000003</v>
      </c>
      <c r="S21" s="26">
        <f>R21*'03_Gia_dinh_Vi_mo'!$C$17</f>
        <v>749.84000000000015</v>
      </c>
      <c r="T21" s="26">
        <f>'03_Gia_dinh_Vi_mo'!$F$40*E21</f>
        <v>372.26943864753724</v>
      </c>
      <c r="U21" s="26">
        <f t="shared" si="9"/>
        <v>2627.0905613524628</v>
      </c>
      <c r="V21" s="26">
        <f>IF(A21&lt;=60, '06_CAPEX_Dau_tu'!$G$32/60, 0)</f>
        <v>35.674629800000012</v>
      </c>
      <c r="W21" s="26">
        <f t="shared" si="10"/>
        <v>2591.415931552463</v>
      </c>
      <c r="X21" s="26">
        <f>IF(W21&gt;0, W21*'03_Gia_dinh_Vi_mo'!$C$11, 0)</f>
        <v>518.28318631049262</v>
      </c>
      <c r="Y21" s="26">
        <f t="shared" si="11"/>
        <v>2073.1327452419705</v>
      </c>
      <c r="Z21" s="26">
        <f t="shared" si="12"/>
        <v>2108.8073750419703</v>
      </c>
      <c r="AA21" s="26">
        <f t="shared" si="13"/>
        <v>25245.681757270446</v>
      </c>
      <c r="AB21" s="26">
        <f t="shared" si="1"/>
        <v>1750.2756784808053</v>
      </c>
      <c r="AC21" s="26">
        <f>'03_Gia_dinh_Vi_mo'!$C$24*C21*D21</f>
        <v>5356</v>
      </c>
      <c r="AD21" s="26">
        <f>AC21*'03_Gia_dinh_Vi_mo'!$C$17</f>
        <v>1071.2</v>
      </c>
      <c r="AE21" s="26">
        <f>'03_Gia_dinh_Vi_mo'!$F$40*E21</f>
        <v>372.26943864753724</v>
      </c>
      <c r="AF21" s="26">
        <f t="shared" si="14"/>
        <v>3912.5305613524629</v>
      </c>
      <c r="AG21" s="26">
        <f>IF(A21&lt;=60, '06_CAPEX_Dau_tu'!$G$32/60, 0)</f>
        <v>35.674629800000012</v>
      </c>
      <c r="AH21" s="26">
        <f t="shared" si="15"/>
        <v>3876.8559315524631</v>
      </c>
      <c r="AI21" s="26">
        <f>IF(AH21&gt;0, AH21*'03_Gia_dinh_Vi_mo'!$C$11, 0)</f>
        <v>775.3711863104927</v>
      </c>
      <c r="AJ21" s="26">
        <f t="shared" si="16"/>
        <v>3101.4847452419704</v>
      </c>
      <c r="AK21" s="26">
        <f t="shared" si="17"/>
        <v>3137.1593750419702</v>
      </c>
      <c r="AL21" s="26">
        <f t="shared" si="18"/>
        <v>39343.089757270449</v>
      </c>
      <c r="AM21" s="26">
        <f t="shared" si="2"/>
        <v>2603.7910425767177</v>
      </c>
    </row>
    <row r="22" spans="1:39" ht="20.100000000000001" customHeight="1" x14ac:dyDescent="0.2">
      <c r="A22" s="9">
        <v>17</v>
      </c>
      <c r="B22" s="9">
        <f t="shared" si="3"/>
        <v>2</v>
      </c>
      <c r="C22" s="82">
        <f>'03_Gia_dinh_Vi_mo'!$G$44</f>
        <v>1</v>
      </c>
      <c r="D22" s="83">
        <f>(1+'03_Gia_dinh_Vi_mo'!$C$10)^(B22-1)</f>
        <v>1.03</v>
      </c>
      <c r="E22" s="83">
        <f>(1+'03_Gia_dinh_Vi_mo'!$C$9)^(B22-1)</f>
        <v>1.0780000000000001</v>
      </c>
      <c r="F22" s="83">
        <f>1/(1+'03_Gia_dinh_Vi_mo'!$C$12)^(A22/12)</f>
        <v>0.82037306486627204</v>
      </c>
      <c r="G22" s="26">
        <f>'03_Gia_dinh_Vi_mo'!$C$22*C22*D22</f>
        <v>2142.4</v>
      </c>
      <c r="H22" s="26">
        <f>G22*'03_Gia_dinh_Vi_mo'!$C$17</f>
        <v>428.48</v>
      </c>
      <c r="I22" s="26">
        <f>'03_Gia_dinh_Vi_mo'!$F$40*E22</f>
        <v>372.26943864753724</v>
      </c>
      <c r="J22" s="26">
        <f t="shared" si="4"/>
        <v>1341.6505613524628</v>
      </c>
      <c r="K22" s="26">
        <f>IF(A22&lt;=60, '06_CAPEX_Dau_tu'!$G$32/60, 0)</f>
        <v>35.674629800000012</v>
      </c>
      <c r="L22" s="26">
        <f t="shared" si="5"/>
        <v>1305.9759315524627</v>
      </c>
      <c r="M22" s="26">
        <f>IF(L22&gt;0, L22*'03_Gia_dinh_Vi_mo'!$C$11, 0)</f>
        <v>261.19518631049255</v>
      </c>
      <c r="N22" s="26">
        <f t="shared" si="6"/>
        <v>1044.7807452419702</v>
      </c>
      <c r="O22" s="26">
        <f t="shared" si="7"/>
        <v>1080.4553750419702</v>
      </c>
      <c r="P22" s="26">
        <f t="shared" si="8"/>
        <v>12228.729132312412</v>
      </c>
      <c r="Q22" s="26">
        <f t="shared" si="0"/>
        <v>886.37648747441858</v>
      </c>
      <c r="R22" s="26">
        <f>'03_Gia_dinh_Vi_mo'!$C$23*C22*D22</f>
        <v>3749.2000000000003</v>
      </c>
      <c r="S22" s="26">
        <f>R22*'03_Gia_dinh_Vi_mo'!$C$17</f>
        <v>749.84000000000015</v>
      </c>
      <c r="T22" s="26">
        <f>'03_Gia_dinh_Vi_mo'!$F$40*E22</f>
        <v>372.26943864753724</v>
      </c>
      <c r="U22" s="26">
        <f t="shared" si="9"/>
        <v>2627.0905613524628</v>
      </c>
      <c r="V22" s="26">
        <f>IF(A22&lt;=60, '06_CAPEX_Dau_tu'!$G$32/60, 0)</f>
        <v>35.674629800000012</v>
      </c>
      <c r="W22" s="26">
        <f t="shared" si="10"/>
        <v>2591.415931552463</v>
      </c>
      <c r="X22" s="26">
        <f>IF(W22&gt;0, W22*'03_Gia_dinh_Vi_mo'!$C$11, 0)</f>
        <v>518.28318631049262</v>
      </c>
      <c r="Y22" s="26">
        <f t="shared" si="11"/>
        <v>2073.1327452419705</v>
      </c>
      <c r="Z22" s="26">
        <f t="shared" si="12"/>
        <v>2108.8073750419703</v>
      </c>
      <c r="AA22" s="26">
        <f t="shared" si="13"/>
        <v>27354.489132312417</v>
      </c>
      <c r="AB22" s="26">
        <f t="shared" si="1"/>
        <v>1730.0087694757792</v>
      </c>
      <c r="AC22" s="26">
        <f>'03_Gia_dinh_Vi_mo'!$C$24*C22*D22</f>
        <v>5356</v>
      </c>
      <c r="AD22" s="26">
        <f>AC22*'03_Gia_dinh_Vi_mo'!$C$17</f>
        <v>1071.2</v>
      </c>
      <c r="AE22" s="26">
        <f>'03_Gia_dinh_Vi_mo'!$F$40*E22</f>
        <v>372.26943864753724</v>
      </c>
      <c r="AF22" s="26">
        <f t="shared" si="14"/>
        <v>3912.5305613524629</v>
      </c>
      <c r="AG22" s="26">
        <f>IF(A22&lt;=60, '06_CAPEX_Dau_tu'!$G$32/60, 0)</f>
        <v>35.674629800000012</v>
      </c>
      <c r="AH22" s="26">
        <f t="shared" si="15"/>
        <v>3876.8559315524631</v>
      </c>
      <c r="AI22" s="26">
        <f>IF(AH22&gt;0, AH22*'03_Gia_dinh_Vi_mo'!$C$11, 0)</f>
        <v>775.3711863104927</v>
      </c>
      <c r="AJ22" s="26">
        <f t="shared" si="16"/>
        <v>3101.4847452419704</v>
      </c>
      <c r="AK22" s="26">
        <f t="shared" si="17"/>
        <v>3137.1593750419702</v>
      </c>
      <c r="AL22" s="26">
        <f t="shared" si="18"/>
        <v>42480.24913231242</v>
      </c>
      <c r="AM22" s="26">
        <f t="shared" si="2"/>
        <v>2573.6410514771396</v>
      </c>
    </row>
    <row r="23" spans="1:39" ht="20.100000000000001" customHeight="1" x14ac:dyDescent="0.2">
      <c r="A23" s="9">
        <v>18</v>
      </c>
      <c r="B23" s="9">
        <f t="shared" si="3"/>
        <v>2</v>
      </c>
      <c r="C23" s="82">
        <f>'03_Gia_dinh_Vi_mo'!$G$44</f>
        <v>1</v>
      </c>
      <c r="D23" s="83">
        <f>(1+'03_Gia_dinh_Vi_mo'!$C$10)^(B23-1)</f>
        <v>1.03</v>
      </c>
      <c r="E23" s="83">
        <f>(1+'03_Gia_dinh_Vi_mo'!$C$9)^(B23-1)</f>
        <v>1.0780000000000001</v>
      </c>
      <c r="F23" s="83">
        <f>1/(1+'03_Gia_dinh_Vi_mo'!$C$12)^(A23/12)</f>
        <v>0.81087374629592512</v>
      </c>
      <c r="G23" s="26">
        <f>'03_Gia_dinh_Vi_mo'!$C$22*C23*D23</f>
        <v>2142.4</v>
      </c>
      <c r="H23" s="26">
        <f>G23*'03_Gia_dinh_Vi_mo'!$C$17</f>
        <v>428.48</v>
      </c>
      <c r="I23" s="26">
        <f>'03_Gia_dinh_Vi_mo'!$F$40*E23</f>
        <v>372.26943864753724</v>
      </c>
      <c r="J23" s="26">
        <f t="shared" si="4"/>
        <v>1341.6505613524628</v>
      </c>
      <c r="K23" s="26">
        <f>IF(A23&lt;=60, '06_CAPEX_Dau_tu'!$G$32/60, 0)</f>
        <v>35.674629800000012</v>
      </c>
      <c r="L23" s="26">
        <f t="shared" si="5"/>
        <v>1305.9759315524627</v>
      </c>
      <c r="M23" s="26">
        <f>IF(L23&gt;0, L23*'03_Gia_dinh_Vi_mo'!$C$11, 0)</f>
        <v>261.19518631049255</v>
      </c>
      <c r="N23" s="26">
        <f t="shared" si="6"/>
        <v>1044.7807452419702</v>
      </c>
      <c r="O23" s="26">
        <f t="shared" si="7"/>
        <v>1080.4553750419702</v>
      </c>
      <c r="P23" s="26">
        <f t="shared" si="8"/>
        <v>13309.184507354383</v>
      </c>
      <c r="Q23" s="26">
        <f t="shared" si="0"/>
        <v>876.11289766585116</v>
      </c>
      <c r="R23" s="26">
        <f>'03_Gia_dinh_Vi_mo'!$C$23*C23*D23</f>
        <v>3749.2000000000003</v>
      </c>
      <c r="S23" s="26">
        <f>R23*'03_Gia_dinh_Vi_mo'!$C$17</f>
        <v>749.84000000000015</v>
      </c>
      <c r="T23" s="26">
        <f>'03_Gia_dinh_Vi_mo'!$F$40*E23</f>
        <v>372.26943864753724</v>
      </c>
      <c r="U23" s="26">
        <f t="shared" si="9"/>
        <v>2627.0905613524628</v>
      </c>
      <c r="V23" s="26">
        <f>IF(A23&lt;=60, '06_CAPEX_Dau_tu'!$G$32/60, 0)</f>
        <v>35.674629800000012</v>
      </c>
      <c r="W23" s="26">
        <f t="shared" si="10"/>
        <v>2591.415931552463</v>
      </c>
      <c r="X23" s="26">
        <f>IF(W23&gt;0, W23*'03_Gia_dinh_Vi_mo'!$C$11, 0)</f>
        <v>518.28318631049262</v>
      </c>
      <c r="Y23" s="26">
        <f t="shared" si="11"/>
        <v>2073.1327452419705</v>
      </c>
      <c r="Z23" s="26">
        <f t="shared" si="12"/>
        <v>2108.8073750419703</v>
      </c>
      <c r="AA23" s="26">
        <f t="shared" si="13"/>
        <v>29463.296507354389</v>
      </c>
      <c r="AB23" s="26">
        <f t="shared" si="1"/>
        <v>1709.9765364167586</v>
      </c>
      <c r="AC23" s="26">
        <f>'03_Gia_dinh_Vi_mo'!$C$24*C23*D23</f>
        <v>5356</v>
      </c>
      <c r="AD23" s="26">
        <f>AC23*'03_Gia_dinh_Vi_mo'!$C$17</f>
        <v>1071.2</v>
      </c>
      <c r="AE23" s="26">
        <f>'03_Gia_dinh_Vi_mo'!$F$40*E23</f>
        <v>372.26943864753724</v>
      </c>
      <c r="AF23" s="26">
        <f t="shared" si="14"/>
        <v>3912.5305613524629</v>
      </c>
      <c r="AG23" s="26">
        <f>IF(A23&lt;=60, '06_CAPEX_Dau_tu'!$G$32/60, 0)</f>
        <v>35.674629800000012</v>
      </c>
      <c r="AH23" s="26">
        <f t="shared" si="15"/>
        <v>3876.8559315524631</v>
      </c>
      <c r="AI23" s="26">
        <f>IF(AH23&gt;0, AH23*'03_Gia_dinh_Vi_mo'!$C$11, 0)</f>
        <v>775.3711863104927</v>
      </c>
      <c r="AJ23" s="26">
        <f t="shared" si="16"/>
        <v>3101.4847452419704</v>
      </c>
      <c r="AK23" s="26">
        <f t="shared" si="17"/>
        <v>3137.1593750419702</v>
      </c>
      <c r="AL23" s="26">
        <f t="shared" si="18"/>
        <v>45617.40850735439</v>
      </c>
      <c r="AM23" s="26">
        <f t="shared" si="2"/>
        <v>2543.8401751676656</v>
      </c>
    </row>
    <row r="24" spans="1:39" ht="20.100000000000001" customHeight="1" x14ac:dyDescent="0.2">
      <c r="A24" s="9">
        <v>19</v>
      </c>
      <c r="B24" s="9">
        <f t="shared" si="3"/>
        <v>2</v>
      </c>
      <c r="C24" s="82">
        <f>'03_Gia_dinh_Vi_mo'!$G$44</f>
        <v>1</v>
      </c>
      <c r="D24" s="83">
        <f>(1+'03_Gia_dinh_Vi_mo'!$C$10)^(B24-1)</f>
        <v>1.03</v>
      </c>
      <c r="E24" s="83">
        <f>(1+'03_Gia_dinh_Vi_mo'!$C$9)^(B24-1)</f>
        <v>1.0780000000000001</v>
      </c>
      <c r="F24" s="83">
        <f>1/(1+'03_Gia_dinh_Vi_mo'!$C$12)^(A24/12)</f>
        <v>0.80148442286945298</v>
      </c>
      <c r="G24" s="26">
        <f>'03_Gia_dinh_Vi_mo'!$C$22*C24*D24</f>
        <v>2142.4</v>
      </c>
      <c r="H24" s="26">
        <f>G24*'03_Gia_dinh_Vi_mo'!$C$17</f>
        <v>428.48</v>
      </c>
      <c r="I24" s="26">
        <f>'03_Gia_dinh_Vi_mo'!$F$40*E24</f>
        <v>372.26943864753724</v>
      </c>
      <c r="J24" s="26">
        <f t="shared" si="4"/>
        <v>1341.6505613524628</v>
      </c>
      <c r="K24" s="26">
        <f>IF(A24&lt;=60, '06_CAPEX_Dau_tu'!$G$32/60, 0)</f>
        <v>35.674629800000012</v>
      </c>
      <c r="L24" s="26">
        <f t="shared" si="5"/>
        <v>1305.9759315524627</v>
      </c>
      <c r="M24" s="26">
        <f>IF(L24&gt;0, L24*'03_Gia_dinh_Vi_mo'!$C$11, 0)</f>
        <v>261.19518631049255</v>
      </c>
      <c r="N24" s="26">
        <f t="shared" si="6"/>
        <v>1044.7807452419702</v>
      </c>
      <c r="O24" s="26">
        <f t="shared" si="7"/>
        <v>1080.4553750419702</v>
      </c>
      <c r="P24" s="26">
        <f t="shared" si="8"/>
        <v>14389.639882396354</v>
      </c>
      <c r="Q24" s="26">
        <f t="shared" si="0"/>
        <v>865.96815270171192</v>
      </c>
      <c r="R24" s="26">
        <f>'03_Gia_dinh_Vi_mo'!$C$23*C24*D24</f>
        <v>3749.2000000000003</v>
      </c>
      <c r="S24" s="26">
        <f>R24*'03_Gia_dinh_Vi_mo'!$C$17</f>
        <v>749.84000000000015</v>
      </c>
      <c r="T24" s="26">
        <f>'03_Gia_dinh_Vi_mo'!$F$40*E24</f>
        <v>372.26943864753724</v>
      </c>
      <c r="U24" s="26">
        <f t="shared" si="9"/>
        <v>2627.0905613524628</v>
      </c>
      <c r="V24" s="26">
        <f>IF(A24&lt;=60, '06_CAPEX_Dau_tu'!$G$32/60, 0)</f>
        <v>35.674629800000012</v>
      </c>
      <c r="W24" s="26">
        <f t="shared" si="10"/>
        <v>2591.415931552463</v>
      </c>
      <c r="X24" s="26">
        <f>IF(W24&gt;0, W24*'03_Gia_dinh_Vi_mo'!$C$11, 0)</f>
        <v>518.28318631049262</v>
      </c>
      <c r="Y24" s="26">
        <f t="shared" si="11"/>
        <v>2073.1327452419705</v>
      </c>
      <c r="Z24" s="26">
        <f t="shared" si="12"/>
        <v>2108.8073750419703</v>
      </c>
      <c r="AA24" s="26">
        <f t="shared" si="13"/>
        <v>31572.103882396361</v>
      </c>
      <c r="AB24" s="26">
        <f t="shared" si="1"/>
        <v>1690.1762619283597</v>
      </c>
      <c r="AC24" s="26">
        <f>'03_Gia_dinh_Vi_mo'!$C$24*C24*D24</f>
        <v>5356</v>
      </c>
      <c r="AD24" s="26">
        <f>AC24*'03_Gia_dinh_Vi_mo'!$C$17</f>
        <v>1071.2</v>
      </c>
      <c r="AE24" s="26">
        <f>'03_Gia_dinh_Vi_mo'!$F$40*E24</f>
        <v>372.26943864753724</v>
      </c>
      <c r="AF24" s="26">
        <f t="shared" si="14"/>
        <v>3912.5305613524629</v>
      </c>
      <c r="AG24" s="26">
        <f>IF(A24&lt;=60, '06_CAPEX_Dau_tu'!$G$32/60, 0)</f>
        <v>35.674629800000012</v>
      </c>
      <c r="AH24" s="26">
        <f t="shared" si="15"/>
        <v>3876.8559315524631</v>
      </c>
      <c r="AI24" s="26">
        <f>IF(AH24&gt;0, AH24*'03_Gia_dinh_Vi_mo'!$C$11, 0)</f>
        <v>775.3711863104927</v>
      </c>
      <c r="AJ24" s="26">
        <f t="shared" si="16"/>
        <v>3101.4847452419704</v>
      </c>
      <c r="AK24" s="26">
        <f t="shared" si="17"/>
        <v>3137.1593750419702</v>
      </c>
      <c r="AL24" s="26">
        <f t="shared" si="18"/>
        <v>48754.567882396361</v>
      </c>
      <c r="AM24" s="26">
        <f t="shared" si="2"/>
        <v>2514.3843711550071</v>
      </c>
    </row>
    <row r="25" spans="1:39" ht="20.100000000000001" customHeight="1" x14ac:dyDescent="0.2">
      <c r="A25" s="9">
        <v>20</v>
      </c>
      <c r="B25" s="9">
        <f t="shared" si="3"/>
        <v>2</v>
      </c>
      <c r="C25" s="82">
        <f>'03_Gia_dinh_Vi_mo'!$G$44</f>
        <v>1</v>
      </c>
      <c r="D25" s="83">
        <f>(1+'03_Gia_dinh_Vi_mo'!$C$10)^(B25-1)</f>
        <v>1.03</v>
      </c>
      <c r="E25" s="83">
        <f>(1+'03_Gia_dinh_Vi_mo'!$C$9)^(B25-1)</f>
        <v>1.0780000000000001</v>
      </c>
      <c r="F25" s="83">
        <f>1/(1+'03_Gia_dinh_Vi_mo'!$C$12)^(A25/12)</f>
        <v>0.79220382092374098</v>
      </c>
      <c r="G25" s="26">
        <f>'03_Gia_dinh_Vi_mo'!$C$22*C25*D25</f>
        <v>2142.4</v>
      </c>
      <c r="H25" s="26">
        <f>G25*'03_Gia_dinh_Vi_mo'!$C$17</f>
        <v>428.48</v>
      </c>
      <c r="I25" s="26">
        <f>'03_Gia_dinh_Vi_mo'!$F$40*E25</f>
        <v>372.26943864753724</v>
      </c>
      <c r="J25" s="26">
        <f t="shared" si="4"/>
        <v>1341.6505613524628</v>
      </c>
      <c r="K25" s="26">
        <f>IF(A25&lt;=60, '06_CAPEX_Dau_tu'!$G$32/60, 0)</f>
        <v>35.674629800000012</v>
      </c>
      <c r="L25" s="26">
        <f t="shared" si="5"/>
        <v>1305.9759315524627</v>
      </c>
      <c r="M25" s="26">
        <f>IF(L25&gt;0, L25*'03_Gia_dinh_Vi_mo'!$C$11, 0)</f>
        <v>261.19518631049255</v>
      </c>
      <c r="N25" s="26">
        <f t="shared" si="6"/>
        <v>1044.7807452419702</v>
      </c>
      <c r="O25" s="26">
        <f t="shared" si="7"/>
        <v>1080.4553750419702</v>
      </c>
      <c r="P25" s="26">
        <f t="shared" si="8"/>
        <v>15470.095257438325</v>
      </c>
      <c r="Q25" s="26">
        <f t="shared" si="0"/>
        <v>855.94087644584238</v>
      </c>
      <c r="R25" s="26">
        <f>'03_Gia_dinh_Vi_mo'!$C$23*C25*D25</f>
        <v>3749.2000000000003</v>
      </c>
      <c r="S25" s="26">
        <f>R25*'03_Gia_dinh_Vi_mo'!$C$17</f>
        <v>749.84000000000015</v>
      </c>
      <c r="T25" s="26">
        <f>'03_Gia_dinh_Vi_mo'!$F$40*E25</f>
        <v>372.26943864753724</v>
      </c>
      <c r="U25" s="26">
        <f t="shared" si="9"/>
        <v>2627.0905613524628</v>
      </c>
      <c r="V25" s="26">
        <f>IF(A25&lt;=60, '06_CAPEX_Dau_tu'!$G$32/60, 0)</f>
        <v>35.674629800000012</v>
      </c>
      <c r="W25" s="26">
        <f t="shared" si="10"/>
        <v>2591.415931552463</v>
      </c>
      <c r="X25" s="26">
        <f>IF(W25&gt;0, W25*'03_Gia_dinh_Vi_mo'!$C$11, 0)</f>
        <v>518.28318631049262</v>
      </c>
      <c r="Y25" s="26">
        <f t="shared" si="11"/>
        <v>2073.1327452419705</v>
      </c>
      <c r="Z25" s="26">
        <f t="shared" si="12"/>
        <v>2108.8073750419703</v>
      </c>
      <c r="AA25" s="26">
        <f t="shared" si="13"/>
        <v>33680.911257438333</v>
      </c>
      <c r="AB25" s="26">
        <f t="shared" si="1"/>
        <v>1670.6052601004133</v>
      </c>
      <c r="AC25" s="26">
        <f>'03_Gia_dinh_Vi_mo'!$C$24*C25*D25</f>
        <v>5356</v>
      </c>
      <c r="AD25" s="26">
        <f>AC25*'03_Gia_dinh_Vi_mo'!$C$17</f>
        <v>1071.2</v>
      </c>
      <c r="AE25" s="26">
        <f>'03_Gia_dinh_Vi_mo'!$F$40*E25</f>
        <v>372.26943864753724</v>
      </c>
      <c r="AF25" s="26">
        <f t="shared" si="14"/>
        <v>3912.5305613524629</v>
      </c>
      <c r="AG25" s="26">
        <f>IF(A25&lt;=60, '06_CAPEX_Dau_tu'!$G$32/60, 0)</f>
        <v>35.674629800000012</v>
      </c>
      <c r="AH25" s="26">
        <f t="shared" si="15"/>
        <v>3876.8559315524631</v>
      </c>
      <c r="AI25" s="26">
        <f>IF(AH25&gt;0, AH25*'03_Gia_dinh_Vi_mo'!$C$11, 0)</f>
        <v>775.3711863104927</v>
      </c>
      <c r="AJ25" s="26">
        <f t="shared" si="16"/>
        <v>3101.4847452419704</v>
      </c>
      <c r="AK25" s="26">
        <f t="shared" si="17"/>
        <v>3137.1593750419702</v>
      </c>
      <c r="AL25" s="26">
        <f t="shared" si="18"/>
        <v>51891.727257438331</v>
      </c>
      <c r="AM25" s="26">
        <f t="shared" si="2"/>
        <v>2485.2696437549839</v>
      </c>
    </row>
    <row r="26" spans="1:39" ht="20.100000000000001" customHeight="1" x14ac:dyDescent="0.2">
      <c r="A26" s="9">
        <v>21</v>
      </c>
      <c r="B26" s="9">
        <f t="shared" si="3"/>
        <v>2</v>
      </c>
      <c r="C26" s="82">
        <f>'03_Gia_dinh_Vi_mo'!$G$44</f>
        <v>1</v>
      </c>
      <c r="D26" s="83">
        <f>(1+'03_Gia_dinh_Vi_mo'!$C$10)^(B26-1)</f>
        <v>1.03</v>
      </c>
      <c r="E26" s="83">
        <f>(1+'03_Gia_dinh_Vi_mo'!$C$9)^(B26-1)</f>
        <v>1.0780000000000001</v>
      </c>
      <c r="F26" s="83">
        <f>1/(1+'03_Gia_dinh_Vi_mo'!$C$12)^(A26/12)</f>
        <v>0.78303068154375965</v>
      </c>
      <c r="G26" s="26">
        <f>'03_Gia_dinh_Vi_mo'!$C$22*C26*D26</f>
        <v>2142.4</v>
      </c>
      <c r="H26" s="26">
        <f>G26*'03_Gia_dinh_Vi_mo'!$C$17</f>
        <v>428.48</v>
      </c>
      <c r="I26" s="26">
        <f>'03_Gia_dinh_Vi_mo'!$F$40*E26</f>
        <v>372.26943864753724</v>
      </c>
      <c r="J26" s="26">
        <f t="shared" si="4"/>
        <v>1341.6505613524628</v>
      </c>
      <c r="K26" s="26">
        <f>IF(A26&lt;=60, '06_CAPEX_Dau_tu'!$G$32/60, 0)</f>
        <v>35.674629800000012</v>
      </c>
      <c r="L26" s="26">
        <f t="shared" si="5"/>
        <v>1305.9759315524627</v>
      </c>
      <c r="M26" s="26">
        <f>IF(L26&gt;0, L26*'03_Gia_dinh_Vi_mo'!$C$11, 0)</f>
        <v>261.19518631049255</v>
      </c>
      <c r="N26" s="26">
        <f t="shared" si="6"/>
        <v>1044.7807452419702</v>
      </c>
      <c r="O26" s="26">
        <f t="shared" si="7"/>
        <v>1080.4553750419702</v>
      </c>
      <c r="P26" s="26">
        <f t="shared" si="8"/>
        <v>16550.550632480295</v>
      </c>
      <c r="Q26" s="26">
        <f t="shared" si="0"/>
        <v>846.02970869673243</v>
      </c>
      <c r="R26" s="26">
        <f>'03_Gia_dinh_Vi_mo'!$C$23*C26*D26</f>
        <v>3749.2000000000003</v>
      </c>
      <c r="S26" s="26">
        <f>R26*'03_Gia_dinh_Vi_mo'!$C$17</f>
        <v>749.84000000000015</v>
      </c>
      <c r="T26" s="26">
        <f>'03_Gia_dinh_Vi_mo'!$F$40*E26</f>
        <v>372.26943864753724</v>
      </c>
      <c r="U26" s="26">
        <f t="shared" si="9"/>
        <v>2627.0905613524628</v>
      </c>
      <c r="V26" s="26">
        <f>IF(A26&lt;=60, '06_CAPEX_Dau_tu'!$G$32/60, 0)</f>
        <v>35.674629800000012</v>
      </c>
      <c r="W26" s="26">
        <f t="shared" si="10"/>
        <v>2591.415931552463</v>
      </c>
      <c r="X26" s="26">
        <f>IF(W26&gt;0, W26*'03_Gia_dinh_Vi_mo'!$C$11, 0)</f>
        <v>518.28318631049262</v>
      </c>
      <c r="Y26" s="26">
        <f t="shared" si="11"/>
        <v>2073.1327452419705</v>
      </c>
      <c r="Z26" s="26">
        <f t="shared" si="12"/>
        <v>2108.8073750419703</v>
      </c>
      <c r="AA26" s="26">
        <f t="shared" si="13"/>
        <v>35789.718632480304</v>
      </c>
      <c r="AB26" s="26">
        <f t="shared" si="1"/>
        <v>1651.2608761236208</v>
      </c>
      <c r="AC26" s="26">
        <f>'03_Gia_dinh_Vi_mo'!$C$24*C26*D26</f>
        <v>5356</v>
      </c>
      <c r="AD26" s="26">
        <f>AC26*'03_Gia_dinh_Vi_mo'!$C$17</f>
        <v>1071.2</v>
      </c>
      <c r="AE26" s="26">
        <f>'03_Gia_dinh_Vi_mo'!$F$40*E26</f>
        <v>372.26943864753724</v>
      </c>
      <c r="AF26" s="26">
        <f t="shared" si="14"/>
        <v>3912.5305613524629</v>
      </c>
      <c r="AG26" s="26">
        <f>IF(A26&lt;=60, '06_CAPEX_Dau_tu'!$G$32/60, 0)</f>
        <v>35.674629800000012</v>
      </c>
      <c r="AH26" s="26">
        <f t="shared" si="15"/>
        <v>3876.8559315524631</v>
      </c>
      <c r="AI26" s="26">
        <f>IF(AH26&gt;0, AH26*'03_Gia_dinh_Vi_mo'!$C$11, 0)</f>
        <v>775.3711863104927</v>
      </c>
      <c r="AJ26" s="26">
        <f t="shared" si="16"/>
        <v>3101.4847452419704</v>
      </c>
      <c r="AK26" s="26">
        <f t="shared" si="17"/>
        <v>3137.1593750419702</v>
      </c>
      <c r="AL26" s="26">
        <f t="shared" si="18"/>
        <v>55028.886632480302</v>
      </c>
      <c r="AM26" s="26">
        <f t="shared" si="2"/>
        <v>2456.4920435505092</v>
      </c>
    </row>
    <row r="27" spans="1:39" ht="20.100000000000001" customHeight="1" x14ac:dyDescent="0.2">
      <c r="A27" s="9">
        <v>22</v>
      </c>
      <c r="B27" s="9">
        <f t="shared" si="3"/>
        <v>2</v>
      </c>
      <c r="C27" s="82">
        <f>'03_Gia_dinh_Vi_mo'!$G$44</f>
        <v>1</v>
      </c>
      <c r="D27" s="83">
        <f>(1+'03_Gia_dinh_Vi_mo'!$C$10)^(B27-1)</f>
        <v>1.03</v>
      </c>
      <c r="E27" s="83">
        <f>(1+'03_Gia_dinh_Vi_mo'!$C$9)^(B27-1)</f>
        <v>1.0780000000000001</v>
      </c>
      <c r="F27" s="83">
        <f>1/(1+'03_Gia_dinh_Vi_mo'!$C$12)^(A27/12)</f>
        <v>0.77396376039179271</v>
      </c>
      <c r="G27" s="26">
        <f>'03_Gia_dinh_Vi_mo'!$C$22*C27*D27</f>
        <v>2142.4</v>
      </c>
      <c r="H27" s="26">
        <f>G27*'03_Gia_dinh_Vi_mo'!$C$17</f>
        <v>428.48</v>
      </c>
      <c r="I27" s="26">
        <f>'03_Gia_dinh_Vi_mo'!$F$40*E27</f>
        <v>372.26943864753724</v>
      </c>
      <c r="J27" s="26">
        <f t="shared" si="4"/>
        <v>1341.6505613524628</v>
      </c>
      <c r="K27" s="26">
        <f>IF(A27&lt;=60, '06_CAPEX_Dau_tu'!$G$32/60, 0)</f>
        <v>35.674629800000012</v>
      </c>
      <c r="L27" s="26">
        <f t="shared" si="5"/>
        <v>1305.9759315524627</v>
      </c>
      <c r="M27" s="26">
        <f>IF(L27&gt;0, L27*'03_Gia_dinh_Vi_mo'!$C$11, 0)</f>
        <v>261.19518631049255</v>
      </c>
      <c r="N27" s="26">
        <f t="shared" si="6"/>
        <v>1044.7807452419702</v>
      </c>
      <c r="O27" s="26">
        <f t="shared" si="7"/>
        <v>1080.4553750419702</v>
      </c>
      <c r="P27" s="26">
        <f t="shared" si="8"/>
        <v>17631.006007522265</v>
      </c>
      <c r="Q27" s="26">
        <f t="shared" si="0"/>
        <v>836.23330500300801</v>
      </c>
      <c r="R27" s="26">
        <f>'03_Gia_dinh_Vi_mo'!$C$23*C27*D27</f>
        <v>3749.2000000000003</v>
      </c>
      <c r="S27" s="26">
        <f>R27*'03_Gia_dinh_Vi_mo'!$C$17</f>
        <v>749.84000000000015</v>
      </c>
      <c r="T27" s="26">
        <f>'03_Gia_dinh_Vi_mo'!$F$40*E27</f>
        <v>372.26943864753724</v>
      </c>
      <c r="U27" s="26">
        <f t="shared" si="9"/>
        <v>2627.0905613524628</v>
      </c>
      <c r="V27" s="26">
        <f>IF(A27&lt;=60, '06_CAPEX_Dau_tu'!$G$32/60, 0)</f>
        <v>35.674629800000012</v>
      </c>
      <c r="W27" s="26">
        <f t="shared" si="10"/>
        <v>2591.415931552463</v>
      </c>
      <c r="X27" s="26">
        <f>IF(W27&gt;0, W27*'03_Gia_dinh_Vi_mo'!$C$11, 0)</f>
        <v>518.28318631049262</v>
      </c>
      <c r="Y27" s="26">
        <f t="shared" si="11"/>
        <v>2073.1327452419705</v>
      </c>
      <c r="Z27" s="26">
        <f t="shared" si="12"/>
        <v>2108.8073750419703</v>
      </c>
      <c r="AA27" s="26">
        <f t="shared" si="13"/>
        <v>37898.526007522276</v>
      </c>
      <c r="AB27" s="26">
        <f t="shared" si="1"/>
        <v>1632.1404859294289</v>
      </c>
      <c r="AC27" s="26">
        <f>'03_Gia_dinh_Vi_mo'!$C$24*C27*D27</f>
        <v>5356</v>
      </c>
      <c r="AD27" s="26">
        <f>AC27*'03_Gia_dinh_Vi_mo'!$C$17</f>
        <v>1071.2</v>
      </c>
      <c r="AE27" s="26">
        <f>'03_Gia_dinh_Vi_mo'!$F$40*E27</f>
        <v>372.26943864753724</v>
      </c>
      <c r="AF27" s="26">
        <f t="shared" si="14"/>
        <v>3912.5305613524629</v>
      </c>
      <c r="AG27" s="26">
        <f>IF(A27&lt;=60, '06_CAPEX_Dau_tu'!$G$32/60, 0)</f>
        <v>35.674629800000012</v>
      </c>
      <c r="AH27" s="26">
        <f t="shared" si="15"/>
        <v>3876.8559315524631</v>
      </c>
      <c r="AI27" s="26">
        <f>IF(AH27&gt;0, AH27*'03_Gia_dinh_Vi_mo'!$C$11, 0)</f>
        <v>775.3711863104927</v>
      </c>
      <c r="AJ27" s="26">
        <f t="shared" si="16"/>
        <v>3101.4847452419704</v>
      </c>
      <c r="AK27" s="26">
        <f t="shared" si="17"/>
        <v>3137.1593750419702</v>
      </c>
      <c r="AL27" s="26">
        <f t="shared" si="18"/>
        <v>58166.046007522273</v>
      </c>
      <c r="AM27" s="26">
        <f t="shared" si="2"/>
        <v>2428.0476668558495</v>
      </c>
    </row>
    <row r="28" spans="1:39" ht="20.100000000000001" customHeight="1" x14ac:dyDescent="0.2">
      <c r="A28" s="9">
        <v>23</v>
      </c>
      <c r="B28" s="9">
        <f t="shared" si="3"/>
        <v>2</v>
      </c>
      <c r="C28" s="82">
        <f>'03_Gia_dinh_Vi_mo'!$G$44</f>
        <v>1</v>
      </c>
      <c r="D28" s="83">
        <f>(1+'03_Gia_dinh_Vi_mo'!$C$10)^(B28-1)</f>
        <v>1.03</v>
      </c>
      <c r="E28" s="83">
        <f>(1+'03_Gia_dinh_Vi_mo'!$C$9)^(B28-1)</f>
        <v>1.0780000000000001</v>
      </c>
      <c r="F28" s="83">
        <f>1/(1+'03_Gia_dinh_Vi_mo'!$C$12)^(A28/12)</f>
        <v>0.76500182753864143</v>
      </c>
      <c r="G28" s="26">
        <f>'03_Gia_dinh_Vi_mo'!$C$22*C28*D28</f>
        <v>2142.4</v>
      </c>
      <c r="H28" s="26">
        <f>G28*'03_Gia_dinh_Vi_mo'!$C$17</f>
        <v>428.48</v>
      </c>
      <c r="I28" s="26">
        <f>'03_Gia_dinh_Vi_mo'!$F$40*E28</f>
        <v>372.26943864753724</v>
      </c>
      <c r="J28" s="26">
        <f t="shared" si="4"/>
        <v>1341.6505613524628</v>
      </c>
      <c r="K28" s="26">
        <f>IF(A28&lt;=60, '06_CAPEX_Dau_tu'!$G$32/60, 0)</f>
        <v>35.674629800000012</v>
      </c>
      <c r="L28" s="26">
        <f t="shared" si="5"/>
        <v>1305.9759315524627</v>
      </c>
      <c r="M28" s="26">
        <f>IF(L28&gt;0, L28*'03_Gia_dinh_Vi_mo'!$C$11, 0)</f>
        <v>261.19518631049255</v>
      </c>
      <c r="N28" s="26">
        <f t="shared" si="6"/>
        <v>1044.7807452419702</v>
      </c>
      <c r="O28" s="26">
        <f t="shared" si="7"/>
        <v>1080.4553750419702</v>
      </c>
      <c r="P28" s="26">
        <f t="shared" si="8"/>
        <v>18711.461382564234</v>
      </c>
      <c r="Q28" s="26">
        <f t="shared" si="0"/>
        <v>826.55033648105541</v>
      </c>
      <c r="R28" s="26">
        <f>'03_Gia_dinh_Vi_mo'!$C$23*C28*D28</f>
        <v>3749.2000000000003</v>
      </c>
      <c r="S28" s="26">
        <f>R28*'03_Gia_dinh_Vi_mo'!$C$17</f>
        <v>749.84000000000015</v>
      </c>
      <c r="T28" s="26">
        <f>'03_Gia_dinh_Vi_mo'!$F$40*E28</f>
        <v>372.26943864753724</v>
      </c>
      <c r="U28" s="26">
        <f t="shared" si="9"/>
        <v>2627.0905613524628</v>
      </c>
      <c r="V28" s="26">
        <f>IF(A28&lt;=60, '06_CAPEX_Dau_tu'!$G$32/60, 0)</f>
        <v>35.674629800000012</v>
      </c>
      <c r="W28" s="26">
        <f t="shared" si="10"/>
        <v>2591.415931552463</v>
      </c>
      <c r="X28" s="26">
        <f>IF(W28&gt;0, W28*'03_Gia_dinh_Vi_mo'!$C$11, 0)</f>
        <v>518.28318631049262</v>
      </c>
      <c r="Y28" s="26">
        <f t="shared" si="11"/>
        <v>2073.1327452419705</v>
      </c>
      <c r="Z28" s="26">
        <f t="shared" si="12"/>
        <v>2108.8073750419703</v>
      </c>
      <c r="AA28" s="26">
        <f t="shared" si="13"/>
        <v>40007.333382564248</v>
      </c>
      <c r="AB28" s="26">
        <f t="shared" si="1"/>
        <v>1613.2414958340726</v>
      </c>
      <c r="AC28" s="26">
        <f>'03_Gia_dinh_Vi_mo'!$C$24*C28*D28</f>
        <v>5356</v>
      </c>
      <c r="AD28" s="26">
        <f>AC28*'03_Gia_dinh_Vi_mo'!$C$17</f>
        <v>1071.2</v>
      </c>
      <c r="AE28" s="26">
        <f>'03_Gia_dinh_Vi_mo'!$F$40*E28</f>
        <v>372.26943864753724</v>
      </c>
      <c r="AF28" s="26">
        <f t="shared" si="14"/>
        <v>3912.5305613524629</v>
      </c>
      <c r="AG28" s="26">
        <f>IF(A28&lt;=60, '06_CAPEX_Dau_tu'!$G$32/60, 0)</f>
        <v>35.674629800000012</v>
      </c>
      <c r="AH28" s="26">
        <f t="shared" si="15"/>
        <v>3876.8559315524631</v>
      </c>
      <c r="AI28" s="26">
        <f>IF(AH28&gt;0, AH28*'03_Gia_dinh_Vi_mo'!$C$11, 0)</f>
        <v>775.3711863104927</v>
      </c>
      <c r="AJ28" s="26">
        <f t="shared" si="16"/>
        <v>3101.4847452419704</v>
      </c>
      <c r="AK28" s="26">
        <f t="shared" si="17"/>
        <v>3137.1593750419702</v>
      </c>
      <c r="AL28" s="26">
        <f t="shared" si="18"/>
        <v>61303.205382564243</v>
      </c>
      <c r="AM28" s="26">
        <f t="shared" si="2"/>
        <v>2399.9326551870895</v>
      </c>
    </row>
    <row r="29" spans="1:39" ht="20.100000000000001" customHeight="1" x14ac:dyDescent="0.2">
      <c r="A29" s="9">
        <v>24</v>
      </c>
      <c r="B29" s="9">
        <f t="shared" si="3"/>
        <v>2</v>
      </c>
      <c r="C29" s="82">
        <f>'03_Gia_dinh_Vi_mo'!$G$44</f>
        <v>1</v>
      </c>
      <c r="D29" s="83">
        <f>(1+'03_Gia_dinh_Vi_mo'!$C$10)^(B29-1)</f>
        <v>1.03</v>
      </c>
      <c r="E29" s="83">
        <f>(1+'03_Gia_dinh_Vi_mo'!$C$9)^(B29-1)</f>
        <v>1.0780000000000001</v>
      </c>
      <c r="F29" s="83">
        <f>1/(1+'03_Gia_dinh_Vi_mo'!$C$12)^(A29/12)</f>
        <v>0.7561436672967865</v>
      </c>
      <c r="G29" s="26">
        <f>'03_Gia_dinh_Vi_mo'!$C$22*C29*D29</f>
        <v>2142.4</v>
      </c>
      <c r="H29" s="26">
        <f>G29*'03_Gia_dinh_Vi_mo'!$C$17</f>
        <v>428.48</v>
      </c>
      <c r="I29" s="26">
        <f>'03_Gia_dinh_Vi_mo'!$F$40*E29</f>
        <v>372.26943864753724</v>
      </c>
      <c r="J29" s="26">
        <f t="shared" si="4"/>
        <v>1341.6505613524628</v>
      </c>
      <c r="K29" s="26">
        <f>IF(A29&lt;=60, '06_CAPEX_Dau_tu'!$G$32/60, 0)</f>
        <v>35.674629800000012</v>
      </c>
      <c r="L29" s="26">
        <f t="shared" si="5"/>
        <v>1305.9759315524627</v>
      </c>
      <c r="M29" s="26">
        <f>IF(L29&gt;0, L29*'03_Gia_dinh_Vi_mo'!$C$11, 0)</f>
        <v>261.19518631049255</v>
      </c>
      <c r="N29" s="26">
        <f t="shared" si="6"/>
        <v>1044.7807452419702</v>
      </c>
      <c r="O29" s="26">
        <f t="shared" si="7"/>
        <v>1080.4553750419702</v>
      </c>
      <c r="P29" s="26">
        <f t="shared" si="8"/>
        <v>19791.916757606203</v>
      </c>
      <c r="Q29" s="26">
        <f t="shared" si="0"/>
        <v>816.97948963476017</v>
      </c>
      <c r="R29" s="26">
        <f>'03_Gia_dinh_Vi_mo'!$C$23*C29*D29</f>
        <v>3749.2000000000003</v>
      </c>
      <c r="S29" s="26">
        <f>R29*'03_Gia_dinh_Vi_mo'!$C$17</f>
        <v>749.84000000000015</v>
      </c>
      <c r="T29" s="26">
        <f>'03_Gia_dinh_Vi_mo'!$F$40*E29</f>
        <v>372.26943864753724</v>
      </c>
      <c r="U29" s="26">
        <f t="shared" si="9"/>
        <v>2627.0905613524628</v>
      </c>
      <c r="V29" s="26">
        <f>IF(A29&lt;=60, '06_CAPEX_Dau_tu'!$G$32/60, 0)</f>
        <v>35.674629800000012</v>
      </c>
      <c r="W29" s="26">
        <f t="shared" si="10"/>
        <v>2591.415931552463</v>
      </c>
      <c r="X29" s="26">
        <f>IF(W29&gt;0, W29*'03_Gia_dinh_Vi_mo'!$C$11, 0)</f>
        <v>518.28318631049262</v>
      </c>
      <c r="Y29" s="26">
        <f t="shared" si="11"/>
        <v>2073.1327452419705</v>
      </c>
      <c r="Z29" s="26">
        <f t="shared" si="12"/>
        <v>2108.8073750419703</v>
      </c>
      <c r="AA29" s="26">
        <f t="shared" si="13"/>
        <v>42116.140757606219</v>
      </c>
      <c r="AB29" s="26">
        <f t="shared" si="1"/>
        <v>1594.5613421867454</v>
      </c>
      <c r="AC29" s="26">
        <f>'03_Gia_dinh_Vi_mo'!$C$24*C29*D29</f>
        <v>5356</v>
      </c>
      <c r="AD29" s="26">
        <f>AC29*'03_Gia_dinh_Vi_mo'!$C$17</f>
        <v>1071.2</v>
      </c>
      <c r="AE29" s="26">
        <f>'03_Gia_dinh_Vi_mo'!$F$40*E29</f>
        <v>372.26943864753724</v>
      </c>
      <c r="AF29" s="26">
        <f t="shared" si="14"/>
        <v>3912.5305613524629</v>
      </c>
      <c r="AG29" s="26">
        <f>IF(A29&lt;=60, '06_CAPEX_Dau_tu'!$G$32/60, 0)</f>
        <v>35.674629800000012</v>
      </c>
      <c r="AH29" s="26">
        <f t="shared" si="15"/>
        <v>3876.8559315524631</v>
      </c>
      <c r="AI29" s="26">
        <f>IF(AH29&gt;0, AH29*'03_Gia_dinh_Vi_mo'!$C$11, 0)</f>
        <v>775.3711863104927</v>
      </c>
      <c r="AJ29" s="26">
        <f t="shared" si="16"/>
        <v>3101.4847452419704</v>
      </c>
      <c r="AK29" s="26">
        <f t="shared" si="17"/>
        <v>3137.1593750419702</v>
      </c>
      <c r="AL29" s="26">
        <f t="shared" si="18"/>
        <v>64440.364757606214</v>
      </c>
      <c r="AM29" s="26">
        <f t="shared" si="2"/>
        <v>2372.14319473873</v>
      </c>
    </row>
    <row r="30" spans="1:39" ht="20.100000000000001" customHeight="1" x14ac:dyDescent="0.2">
      <c r="A30" s="9">
        <v>25</v>
      </c>
      <c r="B30" s="9">
        <f t="shared" si="3"/>
        <v>3</v>
      </c>
      <c r="C30" s="82">
        <f>'03_Gia_dinh_Vi_mo'!$G$44</f>
        <v>1</v>
      </c>
      <c r="D30" s="83">
        <f>(1+'03_Gia_dinh_Vi_mo'!$C$10)^(B30-1)</f>
        <v>1.0609</v>
      </c>
      <c r="E30" s="83">
        <f>(1+'03_Gia_dinh_Vi_mo'!$C$9)^(B30-1)</f>
        <v>1.1620840000000001</v>
      </c>
      <c r="F30" s="83">
        <f>1/(1+'03_Gia_dinh_Vi_mo'!$C$12)^(A30/12)</f>
        <v>0.74738807805547769</v>
      </c>
      <c r="G30" s="26">
        <f>'03_Gia_dinh_Vi_mo'!$C$22*C30*D30</f>
        <v>2206.672</v>
      </c>
      <c r="H30" s="26">
        <f>G30*'03_Gia_dinh_Vi_mo'!$C$17</f>
        <v>441.33440000000002</v>
      </c>
      <c r="I30" s="26">
        <f>'03_Gia_dinh_Vi_mo'!$F$40*E30</f>
        <v>401.30645486204514</v>
      </c>
      <c r="J30" s="26">
        <f t="shared" si="4"/>
        <v>1364.0311451379548</v>
      </c>
      <c r="K30" s="26">
        <f>IF(A30&lt;=60, '06_CAPEX_Dau_tu'!$G$32/60, 0)</f>
        <v>35.674629800000012</v>
      </c>
      <c r="L30" s="26">
        <f t="shared" si="5"/>
        <v>1328.3565153379548</v>
      </c>
      <c r="M30" s="26">
        <f>IF(L30&gt;0, L30*'03_Gia_dinh_Vi_mo'!$C$11, 0)</f>
        <v>265.67130306759094</v>
      </c>
      <c r="N30" s="26">
        <f t="shared" si="6"/>
        <v>1062.6852122703638</v>
      </c>
      <c r="O30" s="26">
        <f t="shared" si="7"/>
        <v>1098.3598420703638</v>
      </c>
      <c r="P30" s="26">
        <f t="shared" si="8"/>
        <v>20890.276599676567</v>
      </c>
      <c r="Q30" s="26">
        <f t="shared" si="0"/>
        <v>820.90105137828721</v>
      </c>
      <c r="R30" s="26">
        <f>'03_Gia_dinh_Vi_mo'!$C$23*C30*D30</f>
        <v>3861.6759999999999</v>
      </c>
      <c r="S30" s="26">
        <f>R30*'03_Gia_dinh_Vi_mo'!$C$17</f>
        <v>772.33519999999999</v>
      </c>
      <c r="T30" s="26">
        <f>'03_Gia_dinh_Vi_mo'!$F$40*E30</f>
        <v>401.30645486204514</v>
      </c>
      <c r="U30" s="26">
        <f t="shared" si="9"/>
        <v>2688.0343451379549</v>
      </c>
      <c r="V30" s="26">
        <f>IF(A30&lt;=60, '06_CAPEX_Dau_tu'!$G$32/60, 0)</f>
        <v>35.674629800000012</v>
      </c>
      <c r="W30" s="26">
        <f t="shared" si="10"/>
        <v>2652.3597153379551</v>
      </c>
      <c r="X30" s="26">
        <f>IF(W30&gt;0, W30*'03_Gia_dinh_Vi_mo'!$C$11, 0)</f>
        <v>530.47194306759104</v>
      </c>
      <c r="Y30" s="26">
        <f t="shared" si="11"/>
        <v>2121.8877722703642</v>
      </c>
      <c r="Z30" s="26">
        <f t="shared" si="12"/>
        <v>2157.562402070364</v>
      </c>
      <c r="AA30" s="26">
        <f t="shared" si="13"/>
        <v>44273.703159676581</v>
      </c>
      <c r="AB30" s="26">
        <f t="shared" si="1"/>
        <v>1612.5364169681291</v>
      </c>
      <c r="AC30" s="26">
        <f>'03_Gia_dinh_Vi_mo'!$C$24*C30*D30</f>
        <v>5516.6799999999994</v>
      </c>
      <c r="AD30" s="26">
        <f>AC30*'03_Gia_dinh_Vi_mo'!$C$17</f>
        <v>1103.336</v>
      </c>
      <c r="AE30" s="26">
        <f>'03_Gia_dinh_Vi_mo'!$F$40*E30</f>
        <v>401.30645486204514</v>
      </c>
      <c r="AF30" s="26">
        <f t="shared" si="14"/>
        <v>4012.0375451379541</v>
      </c>
      <c r="AG30" s="26">
        <f>IF(A30&lt;=60, '06_CAPEX_Dau_tu'!$G$32/60, 0)</f>
        <v>35.674629800000012</v>
      </c>
      <c r="AH30" s="26">
        <f t="shared" si="15"/>
        <v>3976.3629153379543</v>
      </c>
      <c r="AI30" s="26">
        <f>IF(AH30&gt;0, AH30*'03_Gia_dinh_Vi_mo'!$C$11, 0)</f>
        <v>795.27258306759086</v>
      </c>
      <c r="AJ30" s="26">
        <f t="shared" si="16"/>
        <v>3181.0903322703634</v>
      </c>
      <c r="AK30" s="26">
        <f t="shared" si="17"/>
        <v>3216.7649620703633</v>
      </c>
      <c r="AL30" s="26">
        <f t="shared" si="18"/>
        <v>67657.129719676581</v>
      </c>
      <c r="AM30" s="26">
        <f t="shared" si="2"/>
        <v>2404.1717825579703</v>
      </c>
    </row>
    <row r="31" spans="1:39" ht="20.100000000000001" customHeight="1" x14ac:dyDescent="0.2">
      <c r="A31" s="9">
        <v>26</v>
      </c>
      <c r="B31" s="9">
        <f t="shared" si="3"/>
        <v>3</v>
      </c>
      <c r="C31" s="82">
        <f>'03_Gia_dinh_Vi_mo'!$G$44</f>
        <v>1</v>
      </c>
      <c r="D31" s="83">
        <f>(1+'03_Gia_dinh_Vi_mo'!$C$10)^(B31-1)</f>
        <v>1.0609</v>
      </c>
      <c r="E31" s="83">
        <f>(1+'03_Gia_dinh_Vi_mo'!$C$9)^(B31-1)</f>
        <v>1.1620840000000001</v>
      </c>
      <c r="F31" s="83">
        <f>1/(1+'03_Gia_dinh_Vi_mo'!$C$12)^(A31/12)</f>
        <v>0.738733872117737</v>
      </c>
      <c r="G31" s="26">
        <f>'03_Gia_dinh_Vi_mo'!$C$22*C31*D31</f>
        <v>2206.672</v>
      </c>
      <c r="H31" s="26">
        <f>G31*'03_Gia_dinh_Vi_mo'!$C$17</f>
        <v>441.33440000000002</v>
      </c>
      <c r="I31" s="26">
        <f>'03_Gia_dinh_Vi_mo'!$F$40*E31</f>
        <v>401.30645486204514</v>
      </c>
      <c r="J31" s="26">
        <f t="shared" si="4"/>
        <v>1364.0311451379548</v>
      </c>
      <c r="K31" s="26">
        <f>IF(A31&lt;=60, '06_CAPEX_Dau_tu'!$G$32/60, 0)</f>
        <v>35.674629800000012</v>
      </c>
      <c r="L31" s="26">
        <f t="shared" si="5"/>
        <v>1328.3565153379548</v>
      </c>
      <c r="M31" s="26">
        <f>IF(L31&gt;0, L31*'03_Gia_dinh_Vi_mo'!$C$11, 0)</f>
        <v>265.67130306759094</v>
      </c>
      <c r="N31" s="26">
        <f t="shared" si="6"/>
        <v>1062.6852122703638</v>
      </c>
      <c r="O31" s="26">
        <f t="shared" si="7"/>
        <v>1098.3598420703638</v>
      </c>
      <c r="P31" s="26">
        <f t="shared" si="8"/>
        <v>21988.63644174693</v>
      </c>
      <c r="Q31" s="26">
        <f t="shared" si="0"/>
        <v>811.395619111266</v>
      </c>
      <c r="R31" s="26">
        <f>'03_Gia_dinh_Vi_mo'!$C$23*C31*D31</f>
        <v>3861.6759999999999</v>
      </c>
      <c r="S31" s="26">
        <f>R31*'03_Gia_dinh_Vi_mo'!$C$17</f>
        <v>772.33519999999999</v>
      </c>
      <c r="T31" s="26">
        <f>'03_Gia_dinh_Vi_mo'!$F$40*E31</f>
        <v>401.30645486204514</v>
      </c>
      <c r="U31" s="26">
        <f t="shared" si="9"/>
        <v>2688.0343451379549</v>
      </c>
      <c r="V31" s="26">
        <f>IF(A31&lt;=60, '06_CAPEX_Dau_tu'!$G$32/60, 0)</f>
        <v>35.674629800000012</v>
      </c>
      <c r="W31" s="26">
        <f t="shared" si="10"/>
        <v>2652.3597153379551</v>
      </c>
      <c r="X31" s="26">
        <f>IF(W31&gt;0, W31*'03_Gia_dinh_Vi_mo'!$C$11, 0)</f>
        <v>530.47194306759104</v>
      </c>
      <c r="Y31" s="26">
        <f t="shared" si="11"/>
        <v>2121.8877722703642</v>
      </c>
      <c r="Z31" s="26">
        <f t="shared" si="12"/>
        <v>2157.562402070364</v>
      </c>
      <c r="AA31" s="26">
        <f t="shared" si="13"/>
        <v>46431.265561746943</v>
      </c>
      <c r="AB31" s="26">
        <f t="shared" si="1"/>
        <v>1593.8644276170858</v>
      </c>
      <c r="AC31" s="26">
        <f>'03_Gia_dinh_Vi_mo'!$C$24*C31*D31</f>
        <v>5516.6799999999994</v>
      </c>
      <c r="AD31" s="26">
        <f>AC31*'03_Gia_dinh_Vi_mo'!$C$17</f>
        <v>1103.336</v>
      </c>
      <c r="AE31" s="26">
        <f>'03_Gia_dinh_Vi_mo'!$F$40*E31</f>
        <v>401.30645486204514</v>
      </c>
      <c r="AF31" s="26">
        <f t="shared" si="14"/>
        <v>4012.0375451379541</v>
      </c>
      <c r="AG31" s="26">
        <f>IF(A31&lt;=60, '06_CAPEX_Dau_tu'!$G$32/60, 0)</f>
        <v>35.674629800000012</v>
      </c>
      <c r="AH31" s="26">
        <f t="shared" si="15"/>
        <v>3976.3629153379543</v>
      </c>
      <c r="AI31" s="26">
        <f>IF(AH31&gt;0, AH31*'03_Gia_dinh_Vi_mo'!$C$11, 0)</f>
        <v>795.27258306759086</v>
      </c>
      <c r="AJ31" s="26">
        <f t="shared" si="16"/>
        <v>3181.0903322703634</v>
      </c>
      <c r="AK31" s="26">
        <f t="shared" si="17"/>
        <v>3216.7649620703633</v>
      </c>
      <c r="AL31" s="26">
        <f t="shared" si="18"/>
        <v>70873.89468174694</v>
      </c>
      <c r="AM31" s="26">
        <f t="shared" si="2"/>
        <v>2376.333236122905</v>
      </c>
    </row>
    <row r="32" spans="1:39" ht="20.100000000000001" customHeight="1" x14ac:dyDescent="0.2">
      <c r="A32" s="9">
        <v>27</v>
      </c>
      <c r="B32" s="9">
        <f t="shared" si="3"/>
        <v>3</v>
      </c>
      <c r="C32" s="82">
        <f>'03_Gia_dinh_Vi_mo'!$G$44</f>
        <v>1</v>
      </c>
      <c r="D32" s="83">
        <f>(1+'03_Gia_dinh_Vi_mo'!$C$10)^(B32-1)</f>
        <v>1.0609</v>
      </c>
      <c r="E32" s="83">
        <f>(1+'03_Gia_dinh_Vi_mo'!$C$9)^(B32-1)</f>
        <v>1.1620840000000001</v>
      </c>
      <c r="F32" s="83">
        <f>1/(1+'03_Gia_dinh_Vi_mo'!$C$12)^(A32/12)</f>
        <v>0.7301798755392459</v>
      </c>
      <c r="G32" s="26">
        <f>'03_Gia_dinh_Vi_mo'!$C$22*C32*D32</f>
        <v>2206.672</v>
      </c>
      <c r="H32" s="26">
        <f>G32*'03_Gia_dinh_Vi_mo'!$C$17</f>
        <v>441.33440000000002</v>
      </c>
      <c r="I32" s="26">
        <f>'03_Gia_dinh_Vi_mo'!$F$40*E32</f>
        <v>401.30645486204514</v>
      </c>
      <c r="J32" s="26">
        <f t="shared" si="4"/>
        <v>1364.0311451379548</v>
      </c>
      <c r="K32" s="26">
        <f>IF(A32&lt;=60, '06_CAPEX_Dau_tu'!$G$32/60, 0)</f>
        <v>35.674629800000012</v>
      </c>
      <c r="L32" s="26">
        <f t="shared" si="5"/>
        <v>1328.3565153379548</v>
      </c>
      <c r="M32" s="26">
        <f>IF(L32&gt;0, L32*'03_Gia_dinh_Vi_mo'!$C$11, 0)</f>
        <v>265.67130306759094</v>
      </c>
      <c r="N32" s="26">
        <f t="shared" si="6"/>
        <v>1062.6852122703638</v>
      </c>
      <c r="O32" s="26">
        <f t="shared" si="7"/>
        <v>1098.3598420703638</v>
      </c>
      <c r="P32" s="26">
        <f t="shared" si="8"/>
        <v>23086.996283817294</v>
      </c>
      <c r="Q32" s="26">
        <f t="shared" si="0"/>
        <v>802.00025278024407</v>
      </c>
      <c r="R32" s="26">
        <f>'03_Gia_dinh_Vi_mo'!$C$23*C32*D32</f>
        <v>3861.6759999999999</v>
      </c>
      <c r="S32" s="26">
        <f>R32*'03_Gia_dinh_Vi_mo'!$C$17</f>
        <v>772.33519999999999</v>
      </c>
      <c r="T32" s="26">
        <f>'03_Gia_dinh_Vi_mo'!$F$40*E32</f>
        <v>401.30645486204514</v>
      </c>
      <c r="U32" s="26">
        <f t="shared" si="9"/>
        <v>2688.0343451379549</v>
      </c>
      <c r="V32" s="26">
        <f>IF(A32&lt;=60, '06_CAPEX_Dau_tu'!$G$32/60, 0)</f>
        <v>35.674629800000012</v>
      </c>
      <c r="W32" s="26">
        <f t="shared" si="10"/>
        <v>2652.3597153379551</v>
      </c>
      <c r="X32" s="26">
        <f>IF(W32&gt;0, W32*'03_Gia_dinh_Vi_mo'!$C$11, 0)</f>
        <v>530.47194306759104</v>
      </c>
      <c r="Y32" s="26">
        <f t="shared" si="11"/>
        <v>2121.8877722703642</v>
      </c>
      <c r="Z32" s="26">
        <f t="shared" si="12"/>
        <v>2157.562402070364</v>
      </c>
      <c r="AA32" s="26">
        <f t="shared" si="13"/>
        <v>48588.827963817304</v>
      </c>
      <c r="AB32" s="26">
        <f t="shared" si="1"/>
        <v>1575.4086462118948</v>
      </c>
      <c r="AC32" s="26">
        <f>'03_Gia_dinh_Vi_mo'!$C$24*C32*D32</f>
        <v>5516.6799999999994</v>
      </c>
      <c r="AD32" s="26">
        <f>AC32*'03_Gia_dinh_Vi_mo'!$C$17</f>
        <v>1103.336</v>
      </c>
      <c r="AE32" s="26">
        <f>'03_Gia_dinh_Vi_mo'!$F$40*E32</f>
        <v>401.30645486204514</v>
      </c>
      <c r="AF32" s="26">
        <f t="shared" si="14"/>
        <v>4012.0375451379541</v>
      </c>
      <c r="AG32" s="26">
        <f>IF(A32&lt;=60, '06_CAPEX_Dau_tu'!$G$32/60, 0)</f>
        <v>35.674629800000012</v>
      </c>
      <c r="AH32" s="26">
        <f t="shared" si="15"/>
        <v>3976.3629153379543</v>
      </c>
      <c r="AI32" s="26">
        <f>IF(AH32&gt;0, AH32*'03_Gia_dinh_Vi_mo'!$C$11, 0)</f>
        <v>795.27258306759086</v>
      </c>
      <c r="AJ32" s="26">
        <f t="shared" si="16"/>
        <v>3181.0903322703634</v>
      </c>
      <c r="AK32" s="26">
        <f t="shared" si="17"/>
        <v>3216.7649620703633</v>
      </c>
      <c r="AL32" s="26">
        <f t="shared" si="18"/>
        <v>74090.6596438173</v>
      </c>
      <c r="AM32" s="26">
        <f t="shared" si="2"/>
        <v>2348.8170396435448</v>
      </c>
    </row>
    <row r="33" spans="1:39" ht="20.100000000000001" customHeight="1" x14ac:dyDescent="0.2">
      <c r="A33" s="9">
        <v>28</v>
      </c>
      <c r="B33" s="9">
        <f t="shared" si="3"/>
        <v>3</v>
      </c>
      <c r="C33" s="82">
        <f>'03_Gia_dinh_Vi_mo'!$G$44</f>
        <v>1</v>
      </c>
      <c r="D33" s="83">
        <f>(1+'03_Gia_dinh_Vi_mo'!$C$10)^(B33-1)</f>
        <v>1.0609</v>
      </c>
      <c r="E33" s="83">
        <f>(1+'03_Gia_dinh_Vi_mo'!$C$9)^(B33-1)</f>
        <v>1.1620840000000001</v>
      </c>
      <c r="F33" s="83">
        <f>1/(1+'03_Gia_dinh_Vi_mo'!$C$12)^(A33/12)</f>
        <v>0.72172492796910082</v>
      </c>
      <c r="G33" s="26">
        <f>'03_Gia_dinh_Vi_mo'!$C$22*C33*D33</f>
        <v>2206.672</v>
      </c>
      <c r="H33" s="26">
        <f>G33*'03_Gia_dinh_Vi_mo'!$C$17</f>
        <v>441.33440000000002</v>
      </c>
      <c r="I33" s="26">
        <f>'03_Gia_dinh_Vi_mo'!$F$40*E33</f>
        <v>401.30645486204514</v>
      </c>
      <c r="J33" s="26">
        <f t="shared" si="4"/>
        <v>1364.0311451379548</v>
      </c>
      <c r="K33" s="26">
        <f>IF(A33&lt;=60, '06_CAPEX_Dau_tu'!$G$32/60, 0)</f>
        <v>35.674629800000012</v>
      </c>
      <c r="L33" s="26">
        <f t="shared" si="5"/>
        <v>1328.3565153379548</v>
      </c>
      <c r="M33" s="26">
        <f>IF(L33&gt;0, L33*'03_Gia_dinh_Vi_mo'!$C$11, 0)</f>
        <v>265.67130306759094</v>
      </c>
      <c r="N33" s="26">
        <f t="shared" si="6"/>
        <v>1062.6852122703638</v>
      </c>
      <c r="O33" s="26">
        <f t="shared" si="7"/>
        <v>1098.3598420703638</v>
      </c>
      <c r="P33" s="26">
        <f t="shared" si="8"/>
        <v>24185.356125887658</v>
      </c>
      <c r="Q33" s="26">
        <f t="shared" si="0"/>
        <v>792.71367790238628</v>
      </c>
      <c r="R33" s="26">
        <f>'03_Gia_dinh_Vi_mo'!$C$23*C33*D33</f>
        <v>3861.6759999999999</v>
      </c>
      <c r="S33" s="26">
        <f>R33*'03_Gia_dinh_Vi_mo'!$C$17</f>
        <v>772.33519999999999</v>
      </c>
      <c r="T33" s="26">
        <f>'03_Gia_dinh_Vi_mo'!$F$40*E33</f>
        <v>401.30645486204514</v>
      </c>
      <c r="U33" s="26">
        <f t="shared" si="9"/>
        <v>2688.0343451379549</v>
      </c>
      <c r="V33" s="26">
        <f>IF(A33&lt;=60, '06_CAPEX_Dau_tu'!$G$32/60, 0)</f>
        <v>35.674629800000012</v>
      </c>
      <c r="W33" s="26">
        <f t="shared" si="10"/>
        <v>2652.3597153379551</v>
      </c>
      <c r="X33" s="26">
        <f>IF(W33&gt;0, W33*'03_Gia_dinh_Vi_mo'!$C$11, 0)</f>
        <v>530.47194306759104</v>
      </c>
      <c r="Y33" s="26">
        <f t="shared" si="11"/>
        <v>2121.8877722703642</v>
      </c>
      <c r="Z33" s="26">
        <f t="shared" si="12"/>
        <v>2157.562402070364</v>
      </c>
      <c r="AA33" s="26">
        <f t="shared" si="13"/>
        <v>50746.390365887666</v>
      </c>
      <c r="AB33" s="26">
        <f t="shared" si="1"/>
        <v>1557.1665692230736</v>
      </c>
      <c r="AC33" s="26">
        <f>'03_Gia_dinh_Vi_mo'!$C$24*C33*D33</f>
        <v>5516.6799999999994</v>
      </c>
      <c r="AD33" s="26">
        <f>AC33*'03_Gia_dinh_Vi_mo'!$C$17</f>
        <v>1103.336</v>
      </c>
      <c r="AE33" s="26">
        <f>'03_Gia_dinh_Vi_mo'!$F$40*E33</f>
        <v>401.30645486204514</v>
      </c>
      <c r="AF33" s="26">
        <f t="shared" si="14"/>
        <v>4012.0375451379541</v>
      </c>
      <c r="AG33" s="26">
        <f>IF(A33&lt;=60, '06_CAPEX_Dau_tu'!$G$32/60, 0)</f>
        <v>35.674629800000012</v>
      </c>
      <c r="AH33" s="26">
        <f t="shared" si="15"/>
        <v>3976.3629153379543</v>
      </c>
      <c r="AI33" s="26">
        <f>IF(AH33&gt;0, AH33*'03_Gia_dinh_Vi_mo'!$C$11, 0)</f>
        <v>795.27258306759086</v>
      </c>
      <c r="AJ33" s="26">
        <f t="shared" si="16"/>
        <v>3181.0903322703634</v>
      </c>
      <c r="AK33" s="26">
        <f t="shared" si="17"/>
        <v>3216.7649620703633</v>
      </c>
      <c r="AL33" s="26">
        <f t="shared" si="18"/>
        <v>77307.42460588766</v>
      </c>
      <c r="AM33" s="26">
        <f t="shared" si="2"/>
        <v>2321.6194605437604</v>
      </c>
    </row>
    <row r="34" spans="1:39" ht="20.100000000000001" customHeight="1" x14ac:dyDescent="0.2">
      <c r="A34" s="9">
        <v>29</v>
      </c>
      <c r="B34" s="9">
        <f t="shared" si="3"/>
        <v>3</v>
      </c>
      <c r="C34" s="82">
        <f>'03_Gia_dinh_Vi_mo'!$G$44</f>
        <v>1</v>
      </c>
      <c r="D34" s="83">
        <f>(1+'03_Gia_dinh_Vi_mo'!$C$10)^(B34-1)</f>
        <v>1.0609</v>
      </c>
      <c r="E34" s="83">
        <f>(1+'03_Gia_dinh_Vi_mo'!$C$9)^(B34-1)</f>
        <v>1.1620840000000001</v>
      </c>
      <c r="F34" s="83">
        <f>1/(1+'03_Gia_dinh_Vi_mo'!$C$12)^(A34/12)</f>
        <v>0.71336788249241057</v>
      </c>
      <c r="G34" s="26">
        <f>'03_Gia_dinh_Vi_mo'!$C$22*C34*D34</f>
        <v>2206.672</v>
      </c>
      <c r="H34" s="26">
        <f>G34*'03_Gia_dinh_Vi_mo'!$C$17</f>
        <v>441.33440000000002</v>
      </c>
      <c r="I34" s="26">
        <f>'03_Gia_dinh_Vi_mo'!$F$40*E34</f>
        <v>401.30645486204514</v>
      </c>
      <c r="J34" s="26">
        <f t="shared" si="4"/>
        <v>1364.0311451379548</v>
      </c>
      <c r="K34" s="26">
        <f>IF(A34&lt;=60, '06_CAPEX_Dau_tu'!$G$32/60, 0)</f>
        <v>35.674629800000012</v>
      </c>
      <c r="L34" s="26">
        <f t="shared" si="5"/>
        <v>1328.3565153379548</v>
      </c>
      <c r="M34" s="26">
        <f>IF(L34&gt;0, L34*'03_Gia_dinh_Vi_mo'!$C$11, 0)</f>
        <v>265.67130306759094</v>
      </c>
      <c r="N34" s="26">
        <f t="shared" si="6"/>
        <v>1062.6852122703638</v>
      </c>
      <c r="O34" s="26">
        <f t="shared" si="7"/>
        <v>1098.3598420703638</v>
      </c>
      <c r="P34" s="26">
        <f t="shared" si="8"/>
        <v>25283.715967958022</v>
      </c>
      <c r="Q34" s="26">
        <f t="shared" si="0"/>
        <v>783.53463475243393</v>
      </c>
      <c r="R34" s="26">
        <f>'03_Gia_dinh_Vi_mo'!$C$23*C34*D34</f>
        <v>3861.6759999999999</v>
      </c>
      <c r="S34" s="26">
        <f>R34*'03_Gia_dinh_Vi_mo'!$C$17</f>
        <v>772.33519999999999</v>
      </c>
      <c r="T34" s="26">
        <f>'03_Gia_dinh_Vi_mo'!$F$40*E34</f>
        <v>401.30645486204514</v>
      </c>
      <c r="U34" s="26">
        <f t="shared" si="9"/>
        <v>2688.0343451379549</v>
      </c>
      <c r="V34" s="26">
        <f>IF(A34&lt;=60, '06_CAPEX_Dau_tu'!$G$32/60, 0)</f>
        <v>35.674629800000012</v>
      </c>
      <c r="W34" s="26">
        <f t="shared" si="10"/>
        <v>2652.3597153379551</v>
      </c>
      <c r="X34" s="26">
        <f>IF(W34&gt;0, W34*'03_Gia_dinh_Vi_mo'!$C$11, 0)</f>
        <v>530.47194306759104</v>
      </c>
      <c r="Y34" s="26">
        <f t="shared" si="11"/>
        <v>2121.8877722703642</v>
      </c>
      <c r="Z34" s="26">
        <f t="shared" si="12"/>
        <v>2157.562402070364</v>
      </c>
      <c r="AA34" s="26">
        <f t="shared" si="13"/>
        <v>52903.952767958028</v>
      </c>
      <c r="AB34" s="26">
        <f t="shared" si="1"/>
        <v>1539.1357221101746</v>
      </c>
      <c r="AC34" s="26">
        <f>'03_Gia_dinh_Vi_mo'!$C$24*C34*D34</f>
        <v>5516.6799999999994</v>
      </c>
      <c r="AD34" s="26">
        <f>AC34*'03_Gia_dinh_Vi_mo'!$C$17</f>
        <v>1103.336</v>
      </c>
      <c r="AE34" s="26">
        <f>'03_Gia_dinh_Vi_mo'!$F$40*E34</f>
        <v>401.30645486204514</v>
      </c>
      <c r="AF34" s="26">
        <f t="shared" si="14"/>
        <v>4012.0375451379541</v>
      </c>
      <c r="AG34" s="26">
        <f>IF(A34&lt;=60, '06_CAPEX_Dau_tu'!$G$32/60, 0)</f>
        <v>35.674629800000012</v>
      </c>
      <c r="AH34" s="26">
        <f t="shared" si="15"/>
        <v>3976.3629153379543</v>
      </c>
      <c r="AI34" s="26">
        <f>IF(AH34&gt;0, AH34*'03_Gia_dinh_Vi_mo'!$C$11, 0)</f>
        <v>795.27258306759086</v>
      </c>
      <c r="AJ34" s="26">
        <f t="shared" si="16"/>
        <v>3181.0903322703634</v>
      </c>
      <c r="AK34" s="26">
        <f t="shared" si="17"/>
        <v>3216.7649620703633</v>
      </c>
      <c r="AL34" s="26">
        <f t="shared" si="18"/>
        <v>80524.189567958019</v>
      </c>
      <c r="AM34" s="26">
        <f t="shared" si="2"/>
        <v>2294.7368094679146</v>
      </c>
    </row>
    <row r="35" spans="1:39" ht="20.100000000000001" customHeight="1" x14ac:dyDescent="0.2">
      <c r="A35" s="9">
        <v>30</v>
      </c>
      <c r="B35" s="9">
        <f t="shared" si="3"/>
        <v>3</v>
      </c>
      <c r="C35" s="82">
        <f>'03_Gia_dinh_Vi_mo'!$G$44</f>
        <v>1</v>
      </c>
      <c r="D35" s="83">
        <f>(1+'03_Gia_dinh_Vi_mo'!$C$10)^(B35-1)</f>
        <v>1.0609</v>
      </c>
      <c r="E35" s="83">
        <f>(1+'03_Gia_dinh_Vi_mo'!$C$9)^(B35-1)</f>
        <v>1.1620840000000001</v>
      </c>
      <c r="F35" s="83">
        <f>1/(1+'03_Gia_dinh_Vi_mo'!$C$12)^(A35/12)</f>
        <v>0.70510760547471751</v>
      </c>
      <c r="G35" s="26">
        <f>'03_Gia_dinh_Vi_mo'!$C$22*C35*D35</f>
        <v>2206.672</v>
      </c>
      <c r="H35" s="26">
        <f>G35*'03_Gia_dinh_Vi_mo'!$C$17</f>
        <v>441.33440000000002</v>
      </c>
      <c r="I35" s="26">
        <f>'03_Gia_dinh_Vi_mo'!$F$40*E35</f>
        <v>401.30645486204514</v>
      </c>
      <c r="J35" s="26">
        <f t="shared" si="4"/>
        <v>1364.0311451379548</v>
      </c>
      <c r="K35" s="26">
        <f>IF(A35&lt;=60, '06_CAPEX_Dau_tu'!$G$32/60, 0)</f>
        <v>35.674629800000012</v>
      </c>
      <c r="L35" s="26">
        <f t="shared" si="5"/>
        <v>1328.3565153379548</v>
      </c>
      <c r="M35" s="26">
        <f>IF(L35&gt;0, L35*'03_Gia_dinh_Vi_mo'!$C$11, 0)</f>
        <v>265.67130306759094</v>
      </c>
      <c r="N35" s="26">
        <f t="shared" si="6"/>
        <v>1062.6852122703638</v>
      </c>
      <c r="O35" s="26">
        <f t="shared" si="7"/>
        <v>1098.3598420703638</v>
      </c>
      <c r="P35" s="26">
        <f t="shared" si="8"/>
        <v>26382.075810028386</v>
      </c>
      <c r="Q35" s="26">
        <f t="shared" si="0"/>
        <v>774.46187819182308</v>
      </c>
      <c r="R35" s="26">
        <f>'03_Gia_dinh_Vi_mo'!$C$23*C35*D35</f>
        <v>3861.6759999999999</v>
      </c>
      <c r="S35" s="26">
        <f>R35*'03_Gia_dinh_Vi_mo'!$C$17</f>
        <v>772.33519999999999</v>
      </c>
      <c r="T35" s="26">
        <f>'03_Gia_dinh_Vi_mo'!$F$40*E35</f>
        <v>401.30645486204514</v>
      </c>
      <c r="U35" s="26">
        <f t="shared" si="9"/>
        <v>2688.0343451379549</v>
      </c>
      <c r="V35" s="26">
        <f>IF(A35&lt;=60, '06_CAPEX_Dau_tu'!$G$32/60, 0)</f>
        <v>35.674629800000012</v>
      </c>
      <c r="W35" s="26">
        <f t="shared" si="10"/>
        <v>2652.3597153379551</v>
      </c>
      <c r="X35" s="26">
        <f>IF(W35&gt;0, W35*'03_Gia_dinh_Vi_mo'!$C$11, 0)</f>
        <v>530.47194306759104</v>
      </c>
      <c r="Y35" s="26">
        <f t="shared" si="11"/>
        <v>2121.8877722703642</v>
      </c>
      <c r="Z35" s="26">
        <f t="shared" si="12"/>
        <v>2157.562402070364</v>
      </c>
      <c r="AA35" s="26">
        <f t="shared" si="13"/>
        <v>55061.51517002839</v>
      </c>
      <c r="AB35" s="26">
        <f t="shared" si="1"/>
        <v>1521.313658986114</v>
      </c>
      <c r="AC35" s="26">
        <f>'03_Gia_dinh_Vi_mo'!$C$24*C35*D35</f>
        <v>5516.6799999999994</v>
      </c>
      <c r="AD35" s="26">
        <f>AC35*'03_Gia_dinh_Vi_mo'!$C$17</f>
        <v>1103.336</v>
      </c>
      <c r="AE35" s="26">
        <f>'03_Gia_dinh_Vi_mo'!$F$40*E35</f>
        <v>401.30645486204514</v>
      </c>
      <c r="AF35" s="26">
        <f t="shared" si="14"/>
        <v>4012.0375451379541</v>
      </c>
      <c r="AG35" s="26">
        <f>IF(A35&lt;=60, '06_CAPEX_Dau_tu'!$G$32/60, 0)</f>
        <v>35.674629800000012</v>
      </c>
      <c r="AH35" s="26">
        <f t="shared" si="15"/>
        <v>3976.3629153379543</v>
      </c>
      <c r="AI35" s="26">
        <f>IF(AH35&gt;0, AH35*'03_Gia_dinh_Vi_mo'!$C$11, 0)</f>
        <v>795.27258306759086</v>
      </c>
      <c r="AJ35" s="26">
        <f t="shared" si="16"/>
        <v>3181.0903322703634</v>
      </c>
      <c r="AK35" s="26">
        <f t="shared" si="17"/>
        <v>3216.7649620703633</v>
      </c>
      <c r="AL35" s="26">
        <f t="shared" si="18"/>
        <v>83740.954530028379</v>
      </c>
      <c r="AM35" s="26">
        <f t="shared" si="2"/>
        <v>2268.1654397804045</v>
      </c>
    </row>
    <row r="36" spans="1:39" ht="20.100000000000001" customHeight="1" x14ac:dyDescent="0.2">
      <c r="A36" s="9">
        <v>31</v>
      </c>
      <c r="B36" s="9">
        <f t="shared" si="3"/>
        <v>3</v>
      </c>
      <c r="C36" s="82">
        <f>'03_Gia_dinh_Vi_mo'!$G$44</f>
        <v>1</v>
      </c>
      <c r="D36" s="83">
        <f>(1+'03_Gia_dinh_Vi_mo'!$C$10)^(B36-1)</f>
        <v>1.0609</v>
      </c>
      <c r="E36" s="83">
        <f>(1+'03_Gia_dinh_Vi_mo'!$C$9)^(B36-1)</f>
        <v>1.1620840000000001</v>
      </c>
      <c r="F36" s="83">
        <f>1/(1+'03_Gia_dinh_Vi_mo'!$C$12)^(A36/12)</f>
        <v>0.69694297640821989</v>
      </c>
      <c r="G36" s="26">
        <f>'03_Gia_dinh_Vi_mo'!$C$22*C36*D36</f>
        <v>2206.672</v>
      </c>
      <c r="H36" s="26">
        <f>G36*'03_Gia_dinh_Vi_mo'!$C$17</f>
        <v>441.33440000000002</v>
      </c>
      <c r="I36" s="26">
        <f>'03_Gia_dinh_Vi_mo'!$F$40*E36</f>
        <v>401.30645486204514</v>
      </c>
      <c r="J36" s="26">
        <f t="shared" si="4"/>
        <v>1364.0311451379548</v>
      </c>
      <c r="K36" s="26">
        <f>IF(A36&lt;=60, '06_CAPEX_Dau_tu'!$G$32/60, 0)</f>
        <v>35.674629800000012</v>
      </c>
      <c r="L36" s="26">
        <f t="shared" si="5"/>
        <v>1328.3565153379548</v>
      </c>
      <c r="M36" s="26">
        <f>IF(L36&gt;0, L36*'03_Gia_dinh_Vi_mo'!$C$11, 0)</f>
        <v>265.67130306759094</v>
      </c>
      <c r="N36" s="26">
        <f t="shared" si="6"/>
        <v>1062.6852122703638</v>
      </c>
      <c r="O36" s="26">
        <f t="shared" si="7"/>
        <v>1098.3598420703638</v>
      </c>
      <c r="P36" s="26">
        <f t="shared" si="8"/>
        <v>27480.435652098749</v>
      </c>
      <c r="Q36" s="26">
        <f t="shared" si="0"/>
        <v>765.4941774997817</v>
      </c>
      <c r="R36" s="26">
        <f>'03_Gia_dinh_Vi_mo'!$C$23*C36*D36</f>
        <v>3861.6759999999999</v>
      </c>
      <c r="S36" s="26">
        <f>R36*'03_Gia_dinh_Vi_mo'!$C$17</f>
        <v>772.33519999999999</v>
      </c>
      <c r="T36" s="26">
        <f>'03_Gia_dinh_Vi_mo'!$F$40*E36</f>
        <v>401.30645486204514</v>
      </c>
      <c r="U36" s="26">
        <f t="shared" si="9"/>
        <v>2688.0343451379549</v>
      </c>
      <c r="V36" s="26">
        <f>IF(A36&lt;=60, '06_CAPEX_Dau_tu'!$G$32/60, 0)</f>
        <v>35.674629800000012</v>
      </c>
      <c r="W36" s="26">
        <f t="shared" si="10"/>
        <v>2652.3597153379551</v>
      </c>
      <c r="X36" s="26">
        <f>IF(W36&gt;0, W36*'03_Gia_dinh_Vi_mo'!$C$11, 0)</f>
        <v>530.47194306759104</v>
      </c>
      <c r="Y36" s="26">
        <f t="shared" si="11"/>
        <v>2121.8877722703642</v>
      </c>
      <c r="Z36" s="26">
        <f t="shared" si="12"/>
        <v>2157.562402070364</v>
      </c>
      <c r="AA36" s="26">
        <f t="shared" si="13"/>
        <v>57219.077572098751</v>
      </c>
      <c r="AB36" s="26">
        <f t="shared" si="1"/>
        <v>1503.697962285388</v>
      </c>
      <c r="AC36" s="26">
        <f>'03_Gia_dinh_Vi_mo'!$C$24*C36*D36</f>
        <v>5516.6799999999994</v>
      </c>
      <c r="AD36" s="26">
        <f>AC36*'03_Gia_dinh_Vi_mo'!$C$17</f>
        <v>1103.336</v>
      </c>
      <c r="AE36" s="26">
        <f>'03_Gia_dinh_Vi_mo'!$F$40*E36</f>
        <v>401.30645486204514</v>
      </c>
      <c r="AF36" s="26">
        <f t="shared" si="14"/>
        <v>4012.0375451379541</v>
      </c>
      <c r="AG36" s="26">
        <f>IF(A36&lt;=60, '06_CAPEX_Dau_tu'!$G$32/60, 0)</f>
        <v>35.674629800000012</v>
      </c>
      <c r="AH36" s="26">
        <f t="shared" si="15"/>
        <v>3976.3629153379543</v>
      </c>
      <c r="AI36" s="26">
        <f>IF(AH36&gt;0, AH36*'03_Gia_dinh_Vi_mo'!$C$11, 0)</f>
        <v>795.27258306759086</v>
      </c>
      <c r="AJ36" s="26">
        <f t="shared" si="16"/>
        <v>3181.0903322703634</v>
      </c>
      <c r="AK36" s="26">
        <f t="shared" si="17"/>
        <v>3216.7649620703633</v>
      </c>
      <c r="AL36" s="26">
        <f t="shared" si="18"/>
        <v>86957.719492098739</v>
      </c>
      <c r="AM36" s="26">
        <f t="shared" si="2"/>
        <v>2241.9017470709937</v>
      </c>
    </row>
    <row r="37" spans="1:39" ht="20.100000000000001" customHeight="1" x14ac:dyDescent="0.2">
      <c r="A37" s="9">
        <v>32</v>
      </c>
      <c r="B37" s="9">
        <f t="shared" si="3"/>
        <v>3</v>
      </c>
      <c r="C37" s="82">
        <f>'03_Gia_dinh_Vi_mo'!$G$44</f>
        <v>1</v>
      </c>
      <c r="D37" s="83">
        <f>(1+'03_Gia_dinh_Vi_mo'!$C$10)^(B37-1)</f>
        <v>1.0609</v>
      </c>
      <c r="E37" s="83">
        <f>(1+'03_Gia_dinh_Vi_mo'!$C$9)^(B37-1)</f>
        <v>1.1620840000000001</v>
      </c>
      <c r="F37" s="83">
        <f>1/(1+'03_Gia_dinh_Vi_mo'!$C$12)^(A37/12)</f>
        <v>0.68887288775977473</v>
      </c>
      <c r="G37" s="26">
        <f>'03_Gia_dinh_Vi_mo'!$C$22*C37*D37</f>
        <v>2206.672</v>
      </c>
      <c r="H37" s="26">
        <f>G37*'03_Gia_dinh_Vi_mo'!$C$17</f>
        <v>441.33440000000002</v>
      </c>
      <c r="I37" s="26">
        <f>'03_Gia_dinh_Vi_mo'!$F$40*E37</f>
        <v>401.30645486204514</v>
      </c>
      <c r="J37" s="26">
        <f t="shared" si="4"/>
        <v>1364.0311451379548</v>
      </c>
      <c r="K37" s="26">
        <f>IF(A37&lt;=60, '06_CAPEX_Dau_tu'!$G$32/60, 0)</f>
        <v>35.674629800000012</v>
      </c>
      <c r="L37" s="26">
        <f t="shared" si="5"/>
        <v>1328.3565153379548</v>
      </c>
      <c r="M37" s="26">
        <f>IF(L37&gt;0, L37*'03_Gia_dinh_Vi_mo'!$C$11, 0)</f>
        <v>265.67130306759094</v>
      </c>
      <c r="N37" s="26">
        <f t="shared" si="6"/>
        <v>1062.6852122703638</v>
      </c>
      <c r="O37" s="26">
        <f t="shared" si="7"/>
        <v>1098.3598420703638</v>
      </c>
      <c r="P37" s="26">
        <f t="shared" si="8"/>
        <v>28578.795494169113</v>
      </c>
      <c r="Q37" s="26">
        <f t="shared" ref="Q37:Q65" si="19">O37*F37</f>
        <v>756.63031620638162</v>
      </c>
      <c r="R37" s="26">
        <f>'03_Gia_dinh_Vi_mo'!$C$23*C37*D37</f>
        <v>3861.6759999999999</v>
      </c>
      <c r="S37" s="26">
        <f>R37*'03_Gia_dinh_Vi_mo'!$C$17</f>
        <v>772.33519999999999</v>
      </c>
      <c r="T37" s="26">
        <f>'03_Gia_dinh_Vi_mo'!$F$40*E37</f>
        <v>401.30645486204514</v>
      </c>
      <c r="U37" s="26">
        <f t="shared" si="9"/>
        <v>2688.0343451379549</v>
      </c>
      <c r="V37" s="26">
        <f>IF(A37&lt;=60, '06_CAPEX_Dau_tu'!$G$32/60, 0)</f>
        <v>35.674629800000012</v>
      </c>
      <c r="W37" s="26">
        <f t="shared" si="10"/>
        <v>2652.3597153379551</v>
      </c>
      <c r="X37" s="26">
        <f>IF(W37&gt;0, W37*'03_Gia_dinh_Vi_mo'!$C$11, 0)</f>
        <v>530.47194306759104</v>
      </c>
      <c r="Y37" s="26">
        <f t="shared" si="11"/>
        <v>2121.8877722703642</v>
      </c>
      <c r="Z37" s="26">
        <f t="shared" si="12"/>
        <v>2157.562402070364</v>
      </c>
      <c r="AA37" s="26">
        <f t="shared" si="13"/>
        <v>59376.639974169113</v>
      </c>
      <c r="AB37" s="26">
        <f t="shared" ref="AB37:AB65" si="20">Z37*F37</f>
        <v>1486.2862424361278</v>
      </c>
      <c r="AC37" s="26">
        <f>'03_Gia_dinh_Vi_mo'!$C$24*C37*D37</f>
        <v>5516.6799999999994</v>
      </c>
      <c r="AD37" s="26">
        <f>AC37*'03_Gia_dinh_Vi_mo'!$C$17</f>
        <v>1103.336</v>
      </c>
      <c r="AE37" s="26">
        <f>'03_Gia_dinh_Vi_mo'!$F$40*E37</f>
        <v>401.30645486204514</v>
      </c>
      <c r="AF37" s="26">
        <f t="shared" si="14"/>
        <v>4012.0375451379541</v>
      </c>
      <c r="AG37" s="26">
        <f>IF(A37&lt;=60, '06_CAPEX_Dau_tu'!$G$32/60, 0)</f>
        <v>35.674629800000012</v>
      </c>
      <c r="AH37" s="26">
        <f t="shared" si="15"/>
        <v>3976.3629153379543</v>
      </c>
      <c r="AI37" s="26">
        <f>IF(AH37&gt;0, AH37*'03_Gia_dinh_Vi_mo'!$C$11, 0)</f>
        <v>795.27258306759086</v>
      </c>
      <c r="AJ37" s="26">
        <f t="shared" si="16"/>
        <v>3181.0903322703634</v>
      </c>
      <c r="AK37" s="26">
        <f t="shared" si="17"/>
        <v>3216.7649620703633</v>
      </c>
      <c r="AL37" s="26">
        <f t="shared" si="18"/>
        <v>90174.484454169098</v>
      </c>
      <c r="AM37" s="26">
        <f t="shared" ref="AM37:AM65" si="21">AK37*F37</f>
        <v>2215.9421686658734</v>
      </c>
    </row>
    <row r="38" spans="1:39" ht="20.100000000000001" customHeight="1" x14ac:dyDescent="0.2">
      <c r="A38" s="9">
        <v>33</v>
      </c>
      <c r="B38" s="9">
        <f t="shared" ref="B38:B69" si="22">INT((A38-1)/12)+1</f>
        <v>3</v>
      </c>
      <c r="C38" s="82">
        <f>'03_Gia_dinh_Vi_mo'!$G$44</f>
        <v>1</v>
      </c>
      <c r="D38" s="83">
        <f>(1+'03_Gia_dinh_Vi_mo'!$C$10)^(B38-1)</f>
        <v>1.0609</v>
      </c>
      <c r="E38" s="83">
        <f>(1+'03_Gia_dinh_Vi_mo'!$C$9)^(B38-1)</f>
        <v>1.1620840000000001</v>
      </c>
      <c r="F38" s="83">
        <f>1/(1+'03_Gia_dinh_Vi_mo'!$C$12)^(A38/12)</f>
        <v>0.68089624482066069</v>
      </c>
      <c r="G38" s="26">
        <f>'03_Gia_dinh_Vi_mo'!$C$22*C38*D38</f>
        <v>2206.672</v>
      </c>
      <c r="H38" s="26">
        <f>G38*'03_Gia_dinh_Vi_mo'!$C$17</f>
        <v>441.33440000000002</v>
      </c>
      <c r="I38" s="26">
        <f>'03_Gia_dinh_Vi_mo'!$F$40*E38</f>
        <v>401.30645486204514</v>
      </c>
      <c r="J38" s="26">
        <f t="shared" ref="J38:J69" si="23">G38-H38-I38</f>
        <v>1364.0311451379548</v>
      </c>
      <c r="K38" s="26">
        <f>IF(A38&lt;=60, '06_CAPEX_Dau_tu'!$G$32/60, 0)</f>
        <v>35.674629800000012</v>
      </c>
      <c r="L38" s="26">
        <f t="shared" ref="L38:L69" si="24">J38-K38</f>
        <v>1328.3565153379548</v>
      </c>
      <c r="M38" s="26">
        <f>IF(L38&gt;0, L38*'03_Gia_dinh_Vi_mo'!$C$11, 0)</f>
        <v>265.67130306759094</v>
      </c>
      <c r="N38" s="26">
        <f t="shared" ref="N38:N69" si="25">L38-M38</f>
        <v>1062.6852122703638</v>
      </c>
      <c r="O38" s="26">
        <f t="shared" ref="O38:O65" si="26">J38-M38</f>
        <v>1098.3598420703638</v>
      </c>
      <c r="P38" s="26">
        <f t="shared" ref="P38:P69" si="27">P37+O38</f>
        <v>29677.155336239477</v>
      </c>
      <c r="Q38" s="26">
        <f t="shared" si="19"/>
        <v>747.86909192752466</v>
      </c>
      <c r="R38" s="26">
        <f>'03_Gia_dinh_Vi_mo'!$C$23*C38*D38</f>
        <v>3861.6759999999999</v>
      </c>
      <c r="S38" s="26">
        <f>R38*'03_Gia_dinh_Vi_mo'!$C$17</f>
        <v>772.33519999999999</v>
      </c>
      <c r="T38" s="26">
        <f>'03_Gia_dinh_Vi_mo'!$F$40*E38</f>
        <v>401.30645486204514</v>
      </c>
      <c r="U38" s="26">
        <f t="shared" ref="U38:U69" si="28">R38-S38-T38</f>
        <v>2688.0343451379549</v>
      </c>
      <c r="V38" s="26">
        <f>IF(A38&lt;=60, '06_CAPEX_Dau_tu'!$G$32/60, 0)</f>
        <v>35.674629800000012</v>
      </c>
      <c r="W38" s="26">
        <f t="shared" ref="W38:W69" si="29">U38-V38</f>
        <v>2652.3597153379551</v>
      </c>
      <c r="X38" s="26">
        <f>IF(W38&gt;0, W38*'03_Gia_dinh_Vi_mo'!$C$11, 0)</f>
        <v>530.47194306759104</v>
      </c>
      <c r="Y38" s="26">
        <f t="shared" ref="Y38:Y69" si="30">W38-X38</f>
        <v>2121.8877722703642</v>
      </c>
      <c r="Z38" s="26">
        <f t="shared" ref="Z38:Z65" si="31">U38-X38</f>
        <v>2157.562402070364</v>
      </c>
      <c r="AA38" s="26">
        <f t="shared" ref="AA38:AA69" si="32">AA37+Z38</f>
        <v>61534.202376239475</v>
      </c>
      <c r="AB38" s="26">
        <f t="shared" si="20"/>
        <v>1469.0761375359552</v>
      </c>
      <c r="AC38" s="26">
        <f>'03_Gia_dinh_Vi_mo'!$C$24*C38*D38</f>
        <v>5516.6799999999994</v>
      </c>
      <c r="AD38" s="26">
        <f>AC38*'03_Gia_dinh_Vi_mo'!$C$17</f>
        <v>1103.336</v>
      </c>
      <c r="AE38" s="26">
        <f>'03_Gia_dinh_Vi_mo'!$F$40*E38</f>
        <v>401.30645486204514</v>
      </c>
      <c r="AF38" s="26">
        <f t="shared" ref="AF38:AF69" si="33">AC38-AD38-AE38</f>
        <v>4012.0375451379541</v>
      </c>
      <c r="AG38" s="26">
        <f>IF(A38&lt;=60, '06_CAPEX_Dau_tu'!$G$32/60, 0)</f>
        <v>35.674629800000012</v>
      </c>
      <c r="AH38" s="26">
        <f t="shared" ref="AH38:AH69" si="34">AF38-AG38</f>
        <v>3976.3629153379543</v>
      </c>
      <c r="AI38" s="26">
        <f>IF(AH38&gt;0, AH38*'03_Gia_dinh_Vi_mo'!$C$11, 0)</f>
        <v>795.27258306759086</v>
      </c>
      <c r="AJ38" s="26">
        <f t="shared" ref="AJ38:AJ69" si="35">AH38-AI38</f>
        <v>3181.0903322703634</v>
      </c>
      <c r="AK38" s="26">
        <f t="shared" ref="AK38:AK65" si="36">AF38-AI38</f>
        <v>3216.7649620703633</v>
      </c>
      <c r="AL38" s="26">
        <f t="shared" ref="AL38:AL69" si="37">AL37+AK38</f>
        <v>93391.249416239458</v>
      </c>
      <c r="AM38" s="26">
        <f t="shared" si="21"/>
        <v>2190.2831831443855</v>
      </c>
    </row>
    <row r="39" spans="1:39" ht="20.100000000000001" customHeight="1" x14ac:dyDescent="0.2">
      <c r="A39" s="9">
        <v>34</v>
      </c>
      <c r="B39" s="9">
        <f t="shared" si="22"/>
        <v>3</v>
      </c>
      <c r="C39" s="82">
        <f>'03_Gia_dinh_Vi_mo'!$G$44</f>
        <v>1</v>
      </c>
      <c r="D39" s="83">
        <f>(1+'03_Gia_dinh_Vi_mo'!$C$10)^(B39-1)</f>
        <v>1.0609</v>
      </c>
      <c r="E39" s="83">
        <f>(1+'03_Gia_dinh_Vi_mo'!$C$9)^(B39-1)</f>
        <v>1.1620840000000001</v>
      </c>
      <c r="F39" s="83">
        <f>1/(1+'03_Gia_dinh_Vi_mo'!$C$12)^(A39/12)</f>
        <v>0.67301196555808063</v>
      </c>
      <c r="G39" s="26">
        <f>'03_Gia_dinh_Vi_mo'!$C$22*C39*D39</f>
        <v>2206.672</v>
      </c>
      <c r="H39" s="26">
        <f>G39*'03_Gia_dinh_Vi_mo'!$C$17</f>
        <v>441.33440000000002</v>
      </c>
      <c r="I39" s="26">
        <f>'03_Gia_dinh_Vi_mo'!$F$40*E39</f>
        <v>401.30645486204514</v>
      </c>
      <c r="J39" s="26">
        <f t="shared" si="23"/>
        <v>1364.0311451379548</v>
      </c>
      <c r="K39" s="26">
        <f>IF(A39&lt;=60, '06_CAPEX_Dau_tu'!$G$32/60, 0)</f>
        <v>35.674629800000012</v>
      </c>
      <c r="L39" s="26">
        <f t="shared" si="24"/>
        <v>1328.3565153379548</v>
      </c>
      <c r="M39" s="26">
        <f>IF(L39&gt;0, L39*'03_Gia_dinh_Vi_mo'!$C$11, 0)</f>
        <v>265.67130306759094</v>
      </c>
      <c r="N39" s="26">
        <f t="shared" si="25"/>
        <v>1062.6852122703638</v>
      </c>
      <c r="O39" s="26">
        <f t="shared" si="26"/>
        <v>1098.3598420703638</v>
      </c>
      <c r="P39" s="26">
        <f t="shared" si="27"/>
        <v>30775.515178309841</v>
      </c>
      <c r="Q39" s="26">
        <f t="shared" si="19"/>
        <v>739.20931620183853</v>
      </c>
      <c r="R39" s="26">
        <f>'03_Gia_dinh_Vi_mo'!$C$23*C39*D39</f>
        <v>3861.6759999999999</v>
      </c>
      <c r="S39" s="26">
        <f>R39*'03_Gia_dinh_Vi_mo'!$C$17</f>
        <v>772.33519999999999</v>
      </c>
      <c r="T39" s="26">
        <f>'03_Gia_dinh_Vi_mo'!$F$40*E39</f>
        <v>401.30645486204514</v>
      </c>
      <c r="U39" s="26">
        <f t="shared" si="28"/>
        <v>2688.0343451379549</v>
      </c>
      <c r="V39" s="26">
        <f>IF(A39&lt;=60, '06_CAPEX_Dau_tu'!$G$32/60, 0)</f>
        <v>35.674629800000012</v>
      </c>
      <c r="W39" s="26">
        <f t="shared" si="29"/>
        <v>2652.3597153379551</v>
      </c>
      <c r="X39" s="26">
        <f>IF(W39&gt;0, W39*'03_Gia_dinh_Vi_mo'!$C$11, 0)</f>
        <v>530.47194306759104</v>
      </c>
      <c r="Y39" s="26">
        <f t="shared" si="30"/>
        <v>2121.8877722703642</v>
      </c>
      <c r="Z39" s="26">
        <f t="shared" si="31"/>
        <v>2157.562402070364</v>
      </c>
      <c r="AA39" s="26">
        <f t="shared" si="32"/>
        <v>63691.764778309836</v>
      </c>
      <c r="AB39" s="26">
        <f t="shared" si="20"/>
        <v>1452.0653130315895</v>
      </c>
      <c r="AC39" s="26">
        <f>'03_Gia_dinh_Vi_mo'!$C$24*C39*D39</f>
        <v>5516.6799999999994</v>
      </c>
      <c r="AD39" s="26">
        <f>AC39*'03_Gia_dinh_Vi_mo'!$C$17</f>
        <v>1103.336</v>
      </c>
      <c r="AE39" s="26">
        <f>'03_Gia_dinh_Vi_mo'!$F$40*E39</f>
        <v>401.30645486204514</v>
      </c>
      <c r="AF39" s="26">
        <f t="shared" si="33"/>
        <v>4012.0375451379541</v>
      </c>
      <c r="AG39" s="26">
        <f>IF(A39&lt;=60, '06_CAPEX_Dau_tu'!$G$32/60, 0)</f>
        <v>35.674629800000012</v>
      </c>
      <c r="AH39" s="26">
        <f t="shared" si="34"/>
        <v>3976.3629153379543</v>
      </c>
      <c r="AI39" s="26">
        <f>IF(AH39&gt;0, AH39*'03_Gia_dinh_Vi_mo'!$C$11, 0)</f>
        <v>795.27258306759086</v>
      </c>
      <c r="AJ39" s="26">
        <f t="shared" si="35"/>
        <v>3181.0903322703634</v>
      </c>
      <c r="AK39" s="26">
        <f t="shared" si="36"/>
        <v>3216.7649620703633</v>
      </c>
      <c r="AL39" s="26">
        <f t="shared" si="37"/>
        <v>96608.014378309817</v>
      </c>
      <c r="AM39" s="26">
        <f t="shared" si="21"/>
        <v>2164.92130986134</v>
      </c>
    </row>
    <row r="40" spans="1:39" ht="20.100000000000001" customHeight="1" x14ac:dyDescent="0.2">
      <c r="A40" s="9">
        <v>35</v>
      </c>
      <c r="B40" s="9">
        <f t="shared" si="22"/>
        <v>3</v>
      </c>
      <c r="C40" s="82">
        <f>'03_Gia_dinh_Vi_mo'!$G$44</f>
        <v>1</v>
      </c>
      <c r="D40" s="83">
        <f>(1+'03_Gia_dinh_Vi_mo'!$C$10)^(B40-1)</f>
        <v>1.0609</v>
      </c>
      <c r="E40" s="83">
        <f>(1+'03_Gia_dinh_Vi_mo'!$C$9)^(B40-1)</f>
        <v>1.1620840000000001</v>
      </c>
      <c r="F40" s="83">
        <f>1/(1+'03_Gia_dinh_Vi_mo'!$C$12)^(A40/12)</f>
        <v>0.6652189804683839</v>
      </c>
      <c r="G40" s="26">
        <f>'03_Gia_dinh_Vi_mo'!$C$22*C40*D40</f>
        <v>2206.672</v>
      </c>
      <c r="H40" s="26">
        <f>G40*'03_Gia_dinh_Vi_mo'!$C$17</f>
        <v>441.33440000000002</v>
      </c>
      <c r="I40" s="26">
        <f>'03_Gia_dinh_Vi_mo'!$F$40*E40</f>
        <v>401.30645486204514</v>
      </c>
      <c r="J40" s="26">
        <f t="shared" si="23"/>
        <v>1364.0311451379548</v>
      </c>
      <c r="K40" s="26">
        <f>IF(A40&lt;=60, '06_CAPEX_Dau_tu'!$G$32/60, 0)</f>
        <v>35.674629800000012</v>
      </c>
      <c r="L40" s="26">
        <f t="shared" si="24"/>
        <v>1328.3565153379548</v>
      </c>
      <c r="M40" s="26">
        <f>IF(L40&gt;0, L40*'03_Gia_dinh_Vi_mo'!$C$11, 0)</f>
        <v>265.67130306759094</v>
      </c>
      <c r="N40" s="26">
        <f t="shared" si="25"/>
        <v>1062.6852122703638</v>
      </c>
      <c r="O40" s="26">
        <f t="shared" si="26"/>
        <v>1098.3598420703638</v>
      </c>
      <c r="P40" s="26">
        <f t="shared" si="27"/>
        <v>31873.875020380205</v>
      </c>
      <c r="Q40" s="26">
        <f t="shared" si="19"/>
        <v>730.64981432946252</v>
      </c>
      <c r="R40" s="26">
        <f>'03_Gia_dinh_Vi_mo'!$C$23*C40*D40</f>
        <v>3861.6759999999999</v>
      </c>
      <c r="S40" s="26">
        <f>R40*'03_Gia_dinh_Vi_mo'!$C$17</f>
        <v>772.33519999999999</v>
      </c>
      <c r="T40" s="26">
        <f>'03_Gia_dinh_Vi_mo'!$F$40*E40</f>
        <v>401.30645486204514</v>
      </c>
      <c r="U40" s="26">
        <f t="shared" si="28"/>
        <v>2688.0343451379549</v>
      </c>
      <c r="V40" s="26">
        <f>IF(A40&lt;=60, '06_CAPEX_Dau_tu'!$G$32/60, 0)</f>
        <v>35.674629800000012</v>
      </c>
      <c r="W40" s="26">
        <f t="shared" si="29"/>
        <v>2652.3597153379551</v>
      </c>
      <c r="X40" s="26">
        <f>IF(W40&gt;0, W40*'03_Gia_dinh_Vi_mo'!$C$11, 0)</f>
        <v>530.47194306759104</v>
      </c>
      <c r="Y40" s="26">
        <f t="shared" si="30"/>
        <v>2121.8877722703642</v>
      </c>
      <c r="Z40" s="26">
        <f t="shared" si="31"/>
        <v>2157.562402070364</v>
      </c>
      <c r="AA40" s="26">
        <f t="shared" si="32"/>
        <v>65849.327180380205</v>
      </c>
      <c r="AB40" s="26">
        <f t="shared" si="20"/>
        <v>1435.251461402165</v>
      </c>
      <c r="AC40" s="26">
        <f>'03_Gia_dinh_Vi_mo'!$C$24*C40*D40</f>
        <v>5516.6799999999994</v>
      </c>
      <c r="AD40" s="26">
        <f>AC40*'03_Gia_dinh_Vi_mo'!$C$17</f>
        <v>1103.336</v>
      </c>
      <c r="AE40" s="26">
        <f>'03_Gia_dinh_Vi_mo'!$F$40*E40</f>
        <v>401.30645486204514</v>
      </c>
      <c r="AF40" s="26">
        <f t="shared" si="33"/>
        <v>4012.0375451379541</v>
      </c>
      <c r="AG40" s="26">
        <f>IF(A40&lt;=60, '06_CAPEX_Dau_tu'!$G$32/60, 0)</f>
        <v>35.674629800000012</v>
      </c>
      <c r="AH40" s="26">
        <f t="shared" si="34"/>
        <v>3976.3629153379543</v>
      </c>
      <c r="AI40" s="26">
        <f>IF(AH40&gt;0, AH40*'03_Gia_dinh_Vi_mo'!$C$11, 0)</f>
        <v>795.27258306759086</v>
      </c>
      <c r="AJ40" s="26">
        <f t="shared" si="35"/>
        <v>3181.0903322703634</v>
      </c>
      <c r="AK40" s="26">
        <f t="shared" si="36"/>
        <v>3216.7649620703633</v>
      </c>
      <c r="AL40" s="26">
        <f t="shared" si="37"/>
        <v>99824.779340380177</v>
      </c>
      <c r="AM40" s="26">
        <f t="shared" si="21"/>
        <v>2139.8531084748665</v>
      </c>
    </row>
    <row r="41" spans="1:39" ht="20.100000000000001" customHeight="1" x14ac:dyDescent="0.2">
      <c r="A41" s="9">
        <v>36</v>
      </c>
      <c r="B41" s="9">
        <f t="shared" si="22"/>
        <v>3</v>
      </c>
      <c r="C41" s="82">
        <f>'03_Gia_dinh_Vi_mo'!$G$44</f>
        <v>1</v>
      </c>
      <c r="D41" s="83">
        <f>(1+'03_Gia_dinh_Vi_mo'!$C$10)^(B41-1)</f>
        <v>1.0609</v>
      </c>
      <c r="E41" s="83">
        <f>(1+'03_Gia_dinh_Vi_mo'!$C$9)^(B41-1)</f>
        <v>1.1620840000000001</v>
      </c>
      <c r="F41" s="83">
        <f>1/(1+'03_Gia_dinh_Vi_mo'!$C$12)^(A41/12)</f>
        <v>0.65751623243198831</v>
      </c>
      <c r="G41" s="26">
        <f>'03_Gia_dinh_Vi_mo'!$C$22*C41*D41</f>
        <v>2206.672</v>
      </c>
      <c r="H41" s="26">
        <f>G41*'03_Gia_dinh_Vi_mo'!$C$17</f>
        <v>441.33440000000002</v>
      </c>
      <c r="I41" s="26">
        <f>'03_Gia_dinh_Vi_mo'!$F$40*E41</f>
        <v>401.30645486204514</v>
      </c>
      <c r="J41" s="26">
        <f t="shared" si="23"/>
        <v>1364.0311451379548</v>
      </c>
      <c r="K41" s="26">
        <f>IF(A41&lt;=60, '06_CAPEX_Dau_tu'!$G$32/60, 0)</f>
        <v>35.674629800000012</v>
      </c>
      <c r="L41" s="26">
        <f t="shared" si="24"/>
        <v>1328.3565153379548</v>
      </c>
      <c r="M41" s="26">
        <f>IF(L41&gt;0, L41*'03_Gia_dinh_Vi_mo'!$C$11, 0)</f>
        <v>265.67130306759094</v>
      </c>
      <c r="N41" s="26">
        <f t="shared" si="25"/>
        <v>1062.6852122703638</v>
      </c>
      <c r="O41" s="26">
        <f t="shared" si="26"/>
        <v>1098.3598420703638</v>
      </c>
      <c r="P41" s="26">
        <f t="shared" si="27"/>
        <v>32972.234862450568</v>
      </c>
      <c r="Q41" s="26">
        <f t="shared" si="19"/>
        <v>722.18942521269935</v>
      </c>
      <c r="R41" s="26">
        <f>'03_Gia_dinh_Vi_mo'!$C$23*C41*D41</f>
        <v>3861.6759999999999</v>
      </c>
      <c r="S41" s="26">
        <f>R41*'03_Gia_dinh_Vi_mo'!$C$17</f>
        <v>772.33519999999999</v>
      </c>
      <c r="T41" s="26">
        <f>'03_Gia_dinh_Vi_mo'!$F$40*E41</f>
        <v>401.30645486204514</v>
      </c>
      <c r="U41" s="26">
        <f t="shared" si="28"/>
        <v>2688.0343451379549</v>
      </c>
      <c r="V41" s="26">
        <f>IF(A41&lt;=60, '06_CAPEX_Dau_tu'!$G$32/60, 0)</f>
        <v>35.674629800000012</v>
      </c>
      <c r="W41" s="26">
        <f t="shared" si="29"/>
        <v>2652.3597153379551</v>
      </c>
      <c r="X41" s="26">
        <f>IF(W41&gt;0, W41*'03_Gia_dinh_Vi_mo'!$C$11, 0)</f>
        <v>530.47194306759104</v>
      </c>
      <c r="Y41" s="26">
        <f t="shared" si="30"/>
        <v>2121.8877722703642</v>
      </c>
      <c r="Z41" s="26">
        <f t="shared" si="31"/>
        <v>2157.562402070364</v>
      </c>
      <c r="AA41" s="26">
        <f t="shared" si="32"/>
        <v>68006.889582450574</v>
      </c>
      <c r="AB41" s="26">
        <f t="shared" si="20"/>
        <v>1418.6323018462165</v>
      </c>
      <c r="AC41" s="26">
        <f>'03_Gia_dinh_Vi_mo'!$C$24*C41*D41</f>
        <v>5516.6799999999994</v>
      </c>
      <c r="AD41" s="26">
        <f>AC41*'03_Gia_dinh_Vi_mo'!$C$17</f>
        <v>1103.336</v>
      </c>
      <c r="AE41" s="26">
        <f>'03_Gia_dinh_Vi_mo'!$F$40*E41</f>
        <v>401.30645486204514</v>
      </c>
      <c r="AF41" s="26">
        <f t="shared" si="33"/>
        <v>4012.0375451379541</v>
      </c>
      <c r="AG41" s="26">
        <f>IF(A41&lt;=60, '06_CAPEX_Dau_tu'!$G$32/60, 0)</f>
        <v>35.674629800000012</v>
      </c>
      <c r="AH41" s="26">
        <f t="shared" si="34"/>
        <v>3976.3629153379543</v>
      </c>
      <c r="AI41" s="26">
        <f>IF(AH41&gt;0, AH41*'03_Gia_dinh_Vi_mo'!$C$11, 0)</f>
        <v>795.27258306759086</v>
      </c>
      <c r="AJ41" s="26">
        <f t="shared" si="35"/>
        <v>3181.0903322703634</v>
      </c>
      <c r="AK41" s="26">
        <f t="shared" si="36"/>
        <v>3216.7649620703633</v>
      </c>
      <c r="AL41" s="26">
        <f t="shared" si="37"/>
        <v>103041.54430245054</v>
      </c>
      <c r="AM41" s="26">
        <f t="shared" si="21"/>
        <v>2115.075178479733</v>
      </c>
    </row>
    <row r="42" spans="1:39" ht="20.100000000000001" customHeight="1" x14ac:dyDescent="0.2">
      <c r="A42" s="9">
        <v>37</v>
      </c>
      <c r="B42" s="9">
        <f t="shared" si="22"/>
        <v>4</v>
      </c>
      <c r="C42" s="82">
        <f>'03_Gia_dinh_Vi_mo'!$G$44</f>
        <v>1</v>
      </c>
      <c r="D42" s="83">
        <f>(1+'03_Gia_dinh_Vi_mo'!$C$10)^(B42-1)</f>
        <v>1.092727</v>
      </c>
      <c r="E42" s="83">
        <f>(1+'03_Gia_dinh_Vi_mo'!$C$9)^(B42-1)</f>
        <v>1.2527265520000002</v>
      </c>
      <c r="F42" s="83">
        <f>1/(1+'03_Gia_dinh_Vi_mo'!$C$12)^(A42/12)</f>
        <v>0.64990267656998069</v>
      </c>
      <c r="G42" s="26">
        <f>'03_Gia_dinh_Vi_mo'!$C$22*C42*D42</f>
        <v>2272.8721599999999</v>
      </c>
      <c r="H42" s="26">
        <f>G42*'03_Gia_dinh_Vi_mo'!$C$17</f>
        <v>454.574432</v>
      </c>
      <c r="I42" s="26">
        <f>'03_Gia_dinh_Vi_mo'!$F$40*E42</f>
        <v>432.60835834128471</v>
      </c>
      <c r="J42" s="26">
        <f t="shared" si="23"/>
        <v>1385.6893696587153</v>
      </c>
      <c r="K42" s="26">
        <f>IF(A42&lt;=60, '06_CAPEX_Dau_tu'!$G$32/60, 0)</f>
        <v>35.674629800000012</v>
      </c>
      <c r="L42" s="26">
        <f t="shared" si="24"/>
        <v>1350.0147398587153</v>
      </c>
      <c r="M42" s="26">
        <f>IF(L42&gt;0, L42*'03_Gia_dinh_Vi_mo'!$C$11, 0)</f>
        <v>270.00294797174308</v>
      </c>
      <c r="N42" s="26">
        <f t="shared" si="25"/>
        <v>1080.0117918869723</v>
      </c>
      <c r="O42" s="26">
        <f t="shared" si="26"/>
        <v>1115.6864216869722</v>
      </c>
      <c r="P42" s="26">
        <f t="shared" si="27"/>
        <v>34087.921284137541</v>
      </c>
      <c r="Q42" s="26">
        <f t="shared" si="19"/>
        <v>725.08759166714731</v>
      </c>
      <c r="R42" s="26">
        <f>'03_Gia_dinh_Vi_mo'!$C$23*C42*D42</f>
        <v>3977.52628</v>
      </c>
      <c r="S42" s="26">
        <f>R42*'03_Gia_dinh_Vi_mo'!$C$17</f>
        <v>795.50525600000003</v>
      </c>
      <c r="T42" s="26">
        <f>'03_Gia_dinh_Vi_mo'!$F$40*E42</f>
        <v>432.60835834128471</v>
      </c>
      <c r="U42" s="26">
        <f t="shared" si="28"/>
        <v>2749.4126656587155</v>
      </c>
      <c r="V42" s="26">
        <f>IF(A42&lt;=60, '06_CAPEX_Dau_tu'!$G$32/60, 0)</f>
        <v>35.674629800000012</v>
      </c>
      <c r="W42" s="26">
        <f t="shared" si="29"/>
        <v>2713.7380358587156</v>
      </c>
      <c r="X42" s="26">
        <f>IF(W42&gt;0, W42*'03_Gia_dinh_Vi_mo'!$C$11, 0)</f>
        <v>542.7476071717432</v>
      </c>
      <c r="Y42" s="26">
        <f t="shared" si="30"/>
        <v>2170.9904286869723</v>
      </c>
      <c r="Z42" s="26">
        <f t="shared" si="31"/>
        <v>2206.6650584869722</v>
      </c>
      <c r="AA42" s="26">
        <f t="shared" si="32"/>
        <v>70213.554640937553</v>
      </c>
      <c r="AB42" s="26">
        <f t="shared" si="20"/>
        <v>1434.1175278041362</v>
      </c>
      <c r="AC42" s="26">
        <f>'03_Gia_dinh_Vi_mo'!$C$24*C42*D42</f>
        <v>5682.1804000000002</v>
      </c>
      <c r="AD42" s="26">
        <f>AC42*'03_Gia_dinh_Vi_mo'!$C$17</f>
        <v>1136.4360800000002</v>
      </c>
      <c r="AE42" s="26">
        <f>'03_Gia_dinh_Vi_mo'!$F$40*E42</f>
        <v>432.60835834128471</v>
      </c>
      <c r="AF42" s="26">
        <f t="shared" si="33"/>
        <v>4113.1359616587151</v>
      </c>
      <c r="AG42" s="26">
        <f>IF(A42&lt;=60, '06_CAPEX_Dau_tu'!$G$32/60, 0)</f>
        <v>35.674629800000012</v>
      </c>
      <c r="AH42" s="26">
        <f t="shared" si="34"/>
        <v>4077.4613318587153</v>
      </c>
      <c r="AI42" s="26">
        <f>IF(AH42&gt;0, AH42*'03_Gia_dinh_Vi_mo'!$C$11, 0)</f>
        <v>815.49226637174309</v>
      </c>
      <c r="AJ42" s="26">
        <f t="shared" si="35"/>
        <v>3261.9690654869723</v>
      </c>
      <c r="AK42" s="26">
        <f t="shared" si="36"/>
        <v>3297.6436952869722</v>
      </c>
      <c r="AL42" s="26">
        <f t="shared" si="37"/>
        <v>106339.18799773751</v>
      </c>
      <c r="AM42" s="26">
        <f t="shared" si="21"/>
        <v>2143.1474639411249</v>
      </c>
    </row>
    <row r="43" spans="1:39" ht="20.100000000000001" customHeight="1" x14ac:dyDescent="0.2">
      <c r="A43" s="9">
        <v>38</v>
      </c>
      <c r="B43" s="9">
        <f t="shared" si="22"/>
        <v>4</v>
      </c>
      <c r="C43" s="82">
        <f>'03_Gia_dinh_Vi_mo'!$G$44</f>
        <v>1</v>
      </c>
      <c r="D43" s="83">
        <f>(1+'03_Gia_dinh_Vi_mo'!$C$10)^(B43-1)</f>
        <v>1.092727</v>
      </c>
      <c r="E43" s="83">
        <f>(1+'03_Gia_dinh_Vi_mo'!$C$9)^(B43-1)</f>
        <v>1.2527265520000002</v>
      </c>
      <c r="F43" s="83">
        <f>1/(1+'03_Gia_dinh_Vi_mo'!$C$12)^(A43/12)</f>
        <v>0.64237728010238004</v>
      </c>
      <c r="G43" s="26">
        <f>'03_Gia_dinh_Vi_mo'!$C$22*C43*D43</f>
        <v>2272.8721599999999</v>
      </c>
      <c r="H43" s="26">
        <f>G43*'03_Gia_dinh_Vi_mo'!$C$17</f>
        <v>454.574432</v>
      </c>
      <c r="I43" s="26">
        <f>'03_Gia_dinh_Vi_mo'!$F$40*E43</f>
        <v>432.60835834128471</v>
      </c>
      <c r="J43" s="26">
        <f t="shared" si="23"/>
        <v>1385.6893696587153</v>
      </c>
      <c r="K43" s="26">
        <f>IF(A43&lt;=60, '06_CAPEX_Dau_tu'!$G$32/60, 0)</f>
        <v>35.674629800000012</v>
      </c>
      <c r="L43" s="26">
        <f t="shared" si="24"/>
        <v>1350.0147398587153</v>
      </c>
      <c r="M43" s="26">
        <f>IF(L43&gt;0, L43*'03_Gia_dinh_Vi_mo'!$C$11, 0)</f>
        <v>270.00294797174308</v>
      </c>
      <c r="N43" s="26">
        <f t="shared" si="25"/>
        <v>1080.0117918869723</v>
      </c>
      <c r="O43" s="26">
        <f t="shared" si="26"/>
        <v>1115.6864216869722</v>
      </c>
      <c r="P43" s="26">
        <f t="shared" si="27"/>
        <v>35203.607705824514</v>
      </c>
      <c r="Q43" s="26">
        <f t="shared" si="19"/>
        <v>716.69160901043426</v>
      </c>
      <c r="R43" s="26">
        <f>'03_Gia_dinh_Vi_mo'!$C$23*C43*D43</f>
        <v>3977.52628</v>
      </c>
      <c r="S43" s="26">
        <f>R43*'03_Gia_dinh_Vi_mo'!$C$17</f>
        <v>795.50525600000003</v>
      </c>
      <c r="T43" s="26">
        <f>'03_Gia_dinh_Vi_mo'!$F$40*E43</f>
        <v>432.60835834128471</v>
      </c>
      <c r="U43" s="26">
        <f t="shared" si="28"/>
        <v>2749.4126656587155</v>
      </c>
      <c r="V43" s="26">
        <f>IF(A43&lt;=60, '06_CAPEX_Dau_tu'!$G$32/60, 0)</f>
        <v>35.674629800000012</v>
      </c>
      <c r="W43" s="26">
        <f t="shared" si="29"/>
        <v>2713.7380358587156</v>
      </c>
      <c r="X43" s="26">
        <f>IF(W43&gt;0, W43*'03_Gia_dinh_Vi_mo'!$C$11, 0)</f>
        <v>542.7476071717432</v>
      </c>
      <c r="Y43" s="26">
        <f t="shared" si="30"/>
        <v>2170.9904286869723</v>
      </c>
      <c r="Z43" s="26">
        <f t="shared" si="31"/>
        <v>2206.6650584869722</v>
      </c>
      <c r="AA43" s="26">
        <f t="shared" si="32"/>
        <v>72420.219699424531</v>
      </c>
      <c r="AB43" s="26">
        <f t="shared" si="20"/>
        <v>1417.5114983678206</v>
      </c>
      <c r="AC43" s="26">
        <f>'03_Gia_dinh_Vi_mo'!$C$24*C43*D43</f>
        <v>5682.1804000000002</v>
      </c>
      <c r="AD43" s="26">
        <f>AC43*'03_Gia_dinh_Vi_mo'!$C$17</f>
        <v>1136.4360800000002</v>
      </c>
      <c r="AE43" s="26">
        <f>'03_Gia_dinh_Vi_mo'!$F$40*E43</f>
        <v>432.60835834128471</v>
      </c>
      <c r="AF43" s="26">
        <f t="shared" si="33"/>
        <v>4113.1359616587151</v>
      </c>
      <c r="AG43" s="26">
        <f>IF(A43&lt;=60, '06_CAPEX_Dau_tu'!$G$32/60, 0)</f>
        <v>35.674629800000012</v>
      </c>
      <c r="AH43" s="26">
        <f t="shared" si="34"/>
        <v>4077.4613318587153</v>
      </c>
      <c r="AI43" s="26">
        <f>IF(AH43&gt;0, AH43*'03_Gia_dinh_Vi_mo'!$C$11, 0)</f>
        <v>815.49226637174309</v>
      </c>
      <c r="AJ43" s="26">
        <f t="shared" si="35"/>
        <v>3261.9690654869723</v>
      </c>
      <c r="AK43" s="26">
        <f t="shared" si="36"/>
        <v>3297.6436952869722</v>
      </c>
      <c r="AL43" s="26">
        <f t="shared" si="37"/>
        <v>109636.83169302448</v>
      </c>
      <c r="AM43" s="26">
        <f t="shared" si="21"/>
        <v>2118.3313877252067</v>
      </c>
    </row>
    <row r="44" spans="1:39" ht="20.100000000000001" customHeight="1" x14ac:dyDescent="0.2">
      <c r="A44" s="9">
        <v>39</v>
      </c>
      <c r="B44" s="9">
        <f t="shared" si="22"/>
        <v>4</v>
      </c>
      <c r="C44" s="82">
        <f>'03_Gia_dinh_Vi_mo'!$G$44</f>
        <v>1</v>
      </c>
      <c r="D44" s="83">
        <f>(1+'03_Gia_dinh_Vi_mo'!$C$10)^(B44-1)</f>
        <v>1.092727</v>
      </c>
      <c r="E44" s="83">
        <f>(1+'03_Gia_dinh_Vi_mo'!$C$9)^(B44-1)</f>
        <v>1.2527265520000002</v>
      </c>
      <c r="F44" s="83">
        <f>1/(1+'03_Gia_dinh_Vi_mo'!$C$12)^(A44/12)</f>
        <v>0.63493902220803988</v>
      </c>
      <c r="G44" s="26">
        <f>'03_Gia_dinh_Vi_mo'!$C$22*C44*D44</f>
        <v>2272.8721599999999</v>
      </c>
      <c r="H44" s="26">
        <f>G44*'03_Gia_dinh_Vi_mo'!$C$17</f>
        <v>454.574432</v>
      </c>
      <c r="I44" s="26">
        <f>'03_Gia_dinh_Vi_mo'!$F$40*E44</f>
        <v>432.60835834128471</v>
      </c>
      <c r="J44" s="26">
        <f t="shared" si="23"/>
        <v>1385.6893696587153</v>
      </c>
      <c r="K44" s="26">
        <f>IF(A44&lt;=60, '06_CAPEX_Dau_tu'!$G$32/60, 0)</f>
        <v>35.674629800000012</v>
      </c>
      <c r="L44" s="26">
        <f t="shared" si="24"/>
        <v>1350.0147398587153</v>
      </c>
      <c r="M44" s="26">
        <f>IF(L44&gt;0, L44*'03_Gia_dinh_Vi_mo'!$C$11, 0)</f>
        <v>270.00294797174308</v>
      </c>
      <c r="N44" s="26">
        <f t="shared" si="25"/>
        <v>1080.0117918869723</v>
      </c>
      <c r="O44" s="26">
        <f t="shared" si="26"/>
        <v>1115.6864216869722</v>
      </c>
      <c r="P44" s="26">
        <f t="shared" si="27"/>
        <v>36319.294127511486</v>
      </c>
      <c r="Q44" s="26">
        <f t="shared" si="19"/>
        <v>708.39284567671291</v>
      </c>
      <c r="R44" s="26">
        <f>'03_Gia_dinh_Vi_mo'!$C$23*C44*D44</f>
        <v>3977.52628</v>
      </c>
      <c r="S44" s="26">
        <f>R44*'03_Gia_dinh_Vi_mo'!$C$17</f>
        <v>795.50525600000003</v>
      </c>
      <c r="T44" s="26">
        <f>'03_Gia_dinh_Vi_mo'!$F$40*E44</f>
        <v>432.60835834128471</v>
      </c>
      <c r="U44" s="26">
        <f t="shared" si="28"/>
        <v>2749.4126656587155</v>
      </c>
      <c r="V44" s="26">
        <f>IF(A44&lt;=60, '06_CAPEX_Dau_tu'!$G$32/60, 0)</f>
        <v>35.674629800000012</v>
      </c>
      <c r="W44" s="26">
        <f t="shared" si="29"/>
        <v>2713.7380358587156</v>
      </c>
      <c r="X44" s="26">
        <f>IF(W44&gt;0, W44*'03_Gia_dinh_Vi_mo'!$C$11, 0)</f>
        <v>542.7476071717432</v>
      </c>
      <c r="Y44" s="26">
        <f t="shared" si="30"/>
        <v>2170.9904286869723</v>
      </c>
      <c r="Z44" s="26">
        <f t="shared" si="31"/>
        <v>2206.6650584869722</v>
      </c>
      <c r="AA44" s="26">
        <f t="shared" si="32"/>
        <v>74626.88475791151</v>
      </c>
      <c r="AB44" s="26">
        <f t="shared" si="20"/>
        <v>1401.0977545763653</v>
      </c>
      <c r="AC44" s="26">
        <f>'03_Gia_dinh_Vi_mo'!$C$24*C44*D44</f>
        <v>5682.1804000000002</v>
      </c>
      <c r="AD44" s="26">
        <f>AC44*'03_Gia_dinh_Vi_mo'!$C$17</f>
        <v>1136.4360800000002</v>
      </c>
      <c r="AE44" s="26">
        <f>'03_Gia_dinh_Vi_mo'!$F$40*E44</f>
        <v>432.60835834128471</v>
      </c>
      <c r="AF44" s="26">
        <f t="shared" si="33"/>
        <v>4113.1359616587151</v>
      </c>
      <c r="AG44" s="26">
        <f>IF(A44&lt;=60, '06_CAPEX_Dau_tu'!$G$32/60, 0)</f>
        <v>35.674629800000012</v>
      </c>
      <c r="AH44" s="26">
        <f t="shared" si="34"/>
        <v>4077.4613318587153</v>
      </c>
      <c r="AI44" s="26">
        <f>IF(AH44&gt;0, AH44*'03_Gia_dinh_Vi_mo'!$C$11, 0)</f>
        <v>815.49226637174309</v>
      </c>
      <c r="AJ44" s="26">
        <f t="shared" si="35"/>
        <v>3261.9690654869723</v>
      </c>
      <c r="AK44" s="26">
        <f t="shared" si="36"/>
        <v>3297.6436952869722</v>
      </c>
      <c r="AL44" s="26">
        <f t="shared" si="37"/>
        <v>112934.47538831145</v>
      </c>
      <c r="AM44" s="26">
        <f t="shared" si="21"/>
        <v>2093.8026634760176</v>
      </c>
    </row>
    <row r="45" spans="1:39" ht="20.100000000000001" customHeight="1" x14ac:dyDescent="0.2">
      <c r="A45" s="9">
        <v>40</v>
      </c>
      <c r="B45" s="9">
        <f t="shared" si="22"/>
        <v>4</v>
      </c>
      <c r="C45" s="82">
        <f>'03_Gia_dinh_Vi_mo'!$G$44</f>
        <v>1</v>
      </c>
      <c r="D45" s="83">
        <f>(1+'03_Gia_dinh_Vi_mo'!$C$10)^(B45-1)</f>
        <v>1.092727</v>
      </c>
      <c r="E45" s="83">
        <f>(1+'03_Gia_dinh_Vi_mo'!$C$9)^(B45-1)</f>
        <v>1.2527265520000002</v>
      </c>
      <c r="F45" s="83">
        <f>1/(1+'03_Gia_dinh_Vi_mo'!$C$12)^(A45/12)</f>
        <v>0.62758689388617461</v>
      </c>
      <c r="G45" s="26">
        <f>'03_Gia_dinh_Vi_mo'!$C$22*C45*D45</f>
        <v>2272.8721599999999</v>
      </c>
      <c r="H45" s="26">
        <f>G45*'03_Gia_dinh_Vi_mo'!$C$17</f>
        <v>454.574432</v>
      </c>
      <c r="I45" s="26">
        <f>'03_Gia_dinh_Vi_mo'!$F$40*E45</f>
        <v>432.60835834128471</v>
      </c>
      <c r="J45" s="26">
        <f t="shared" si="23"/>
        <v>1385.6893696587153</v>
      </c>
      <c r="K45" s="26">
        <f>IF(A45&lt;=60, '06_CAPEX_Dau_tu'!$G$32/60, 0)</f>
        <v>35.674629800000012</v>
      </c>
      <c r="L45" s="26">
        <f t="shared" si="24"/>
        <v>1350.0147398587153</v>
      </c>
      <c r="M45" s="26">
        <f>IF(L45&gt;0, L45*'03_Gia_dinh_Vi_mo'!$C$11, 0)</f>
        <v>270.00294797174308</v>
      </c>
      <c r="N45" s="26">
        <f t="shared" si="25"/>
        <v>1080.0117918869723</v>
      </c>
      <c r="O45" s="26">
        <f t="shared" si="26"/>
        <v>1115.6864216869722</v>
      </c>
      <c r="P45" s="26">
        <f t="shared" si="27"/>
        <v>37434.980549198459</v>
      </c>
      <c r="Q45" s="26">
        <f t="shared" si="19"/>
        <v>700.19017593750766</v>
      </c>
      <c r="R45" s="26">
        <f>'03_Gia_dinh_Vi_mo'!$C$23*C45*D45</f>
        <v>3977.52628</v>
      </c>
      <c r="S45" s="26">
        <f>R45*'03_Gia_dinh_Vi_mo'!$C$17</f>
        <v>795.50525600000003</v>
      </c>
      <c r="T45" s="26">
        <f>'03_Gia_dinh_Vi_mo'!$F$40*E45</f>
        <v>432.60835834128471</v>
      </c>
      <c r="U45" s="26">
        <f t="shared" si="28"/>
        <v>2749.4126656587155</v>
      </c>
      <c r="V45" s="26">
        <f>IF(A45&lt;=60, '06_CAPEX_Dau_tu'!$G$32/60, 0)</f>
        <v>35.674629800000012</v>
      </c>
      <c r="W45" s="26">
        <f t="shared" si="29"/>
        <v>2713.7380358587156</v>
      </c>
      <c r="X45" s="26">
        <f>IF(W45&gt;0, W45*'03_Gia_dinh_Vi_mo'!$C$11, 0)</f>
        <v>542.7476071717432</v>
      </c>
      <c r="Y45" s="26">
        <f t="shared" si="30"/>
        <v>2170.9904286869723</v>
      </c>
      <c r="Z45" s="26">
        <f t="shared" si="31"/>
        <v>2206.6650584869722</v>
      </c>
      <c r="AA45" s="26">
        <f t="shared" si="32"/>
        <v>76833.549816398488</v>
      </c>
      <c r="AB45" s="26">
        <f t="shared" si="20"/>
        <v>1384.8740699029927</v>
      </c>
      <c r="AC45" s="26">
        <f>'03_Gia_dinh_Vi_mo'!$C$24*C45*D45</f>
        <v>5682.1804000000002</v>
      </c>
      <c r="AD45" s="26">
        <f>AC45*'03_Gia_dinh_Vi_mo'!$C$17</f>
        <v>1136.4360800000002</v>
      </c>
      <c r="AE45" s="26">
        <f>'03_Gia_dinh_Vi_mo'!$F$40*E45</f>
        <v>432.60835834128471</v>
      </c>
      <c r="AF45" s="26">
        <f t="shared" si="33"/>
        <v>4113.1359616587151</v>
      </c>
      <c r="AG45" s="26">
        <f>IF(A45&lt;=60, '06_CAPEX_Dau_tu'!$G$32/60, 0)</f>
        <v>35.674629800000012</v>
      </c>
      <c r="AH45" s="26">
        <f t="shared" si="34"/>
        <v>4077.4613318587153</v>
      </c>
      <c r="AI45" s="26">
        <f>IF(AH45&gt;0, AH45*'03_Gia_dinh_Vi_mo'!$C$11, 0)</f>
        <v>815.49226637174309</v>
      </c>
      <c r="AJ45" s="26">
        <f t="shared" si="35"/>
        <v>3261.9690654869723</v>
      </c>
      <c r="AK45" s="26">
        <f t="shared" si="36"/>
        <v>3297.6436952869722</v>
      </c>
      <c r="AL45" s="26">
        <f t="shared" si="37"/>
        <v>116232.11908359842</v>
      </c>
      <c r="AM45" s="26">
        <f t="shared" si="21"/>
        <v>2069.5579638684776</v>
      </c>
    </row>
    <row r="46" spans="1:39" ht="20.100000000000001" customHeight="1" x14ac:dyDescent="0.2">
      <c r="A46" s="9">
        <v>41</v>
      </c>
      <c r="B46" s="9">
        <f t="shared" si="22"/>
        <v>4</v>
      </c>
      <c r="C46" s="82">
        <f>'03_Gia_dinh_Vi_mo'!$G$44</f>
        <v>1</v>
      </c>
      <c r="D46" s="83">
        <f>(1+'03_Gia_dinh_Vi_mo'!$C$10)^(B46-1)</f>
        <v>1.092727</v>
      </c>
      <c r="E46" s="83">
        <f>(1+'03_Gia_dinh_Vi_mo'!$C$9)^(B46-1)</f>
        <v>1.2527265520000002</v>
      </c>
      <c r="F46" s="83">
        <f>1/(1+'03_Gia_dinh_Vi_mo'!$C$12)^(A46/12)</f>
        <v>0.62031989781948749</v>
      </c>
      <c r="G46" s="26">
        <f>'03_Gia_dinh_Vi_mo'!$C$22*C46*D46</f>
        <v>2272.8721599999999</v>
      </c>
      <c r="H46" s="26">
        <f>G46*'03_Gia_dinh_Vi_mo'!$C$17</f>
        <v>454.574432</v>
      </c>
      <c r="I46" s="26">
        <f>'03_Gia_dinh_Vi_mo'!$F$40*E46</f>
        <v>432.60835834128471</v>
      </c>
      <c r="J46" s="26">
        <f t="shared" si="23"/>
        <v>1385.6893696587153</v>
      </c>
      <c r="K46" s="26">
        <f>IF(A46&lt;=60, '06_CAPEX_Dau_tu'!$G$32/60, 0)</f>
        <v>35.674629800000012</v>
      </c>
      <c r="L46" s="26">
        <f t="shared" si="24"/>
        <v>1350.0147398587153</v>
      </c>
      <c r="M46" s="26">
        <f>IF(L46&gt;0, L46*'03_Gia_dinh_Vi_mo'!$C$11, 0)</f>
        <v>270.00294797174308</v>
      </c>
      <c r="N46" s="26">
        <f t="shared" si="25"/>
        <v>1080.0117918869723</v>
      </c>
      <c r="O46" s="26">
        <f t="shared" si="26"/>
        <v>1115.6864216869722</v>
      </c>
      <c r="P46" s="26">
        <f t="shared" si="27"/>
        <v>38550.666970885432</v>
      </c>
      <c r="Q46" s="26">
        <f t="shared" si="19"/>
        <v>692.08248709945224</v>
      </c>
      <c r="R46" s="26">
        <f>'03_Gia_dinh_Vi_mo'!$C$23*C46*D46</f>
        <v>3977.52628</v>
      </c>
      <c r="S46" s="26">
        <f>R46*'03_Gia_dinh_Vi_mo'!$C$17</f>
        <v>795.50525600000003</v>
      </c>
      <c r="T46" s="26">
        <f>'03_Gia_dinh_Vi_mo'!$F$40*E46</f>
        <v>432.60835834128471</v>
      </c>
      <c r="U46" s="26">
        <f t="shared" si="28"/>
        <v>2749.4126656587155</v>
      </c>
      <c r="V46" s="26">
        <f>IF(A46&lt;=60, '06_CAPEX_Dau_tu'!$G$32/60, 0)</f>
        <v>35.674629800000012</v>
      </c>
      <c r="W46" s="26">
        <f t="shared" si="29"/>
        <v>2713.7380358587156</v>
      </c>
      <c r="X46" s="26">
        <f>IF(W46&gt;0, W46*'03_Gia_dinh_Vi_mo'!$C$11, 0)</f>
        <v>542.7476071717432</v>
      </c>
      <c r="Y46" s="26">
        <f t="shared" si="30"/>
        <v>2170.9904286869723</v>
      </c>
      <c r="Z46" s="26">
        <f t="shared" si="31"/>
        <v>2206.6650584869722</v>
      </c>
      <c r="AA46" s="26">
        <f t="shared" si="32"/>
        <v>79040.214874885467</v>
      </c>
      <c r="AB46" s="26">
        <f t="shared" si="20"/>
        <v>1368.8382436024719</v>
      </c>
      <c r="AC46" s="26">
        <f>'03_Gia_dinh_Vi_mo'!$C$24*C46*D46</f>
        <v>5682.1804000000002</v>
      </c>
      <c r="AD46" s="26">
        <f>AC46*'03_Gia_dinh_Vi_mo'!$C$17</f>
        <v>1136.4360800000002</v>
      </c>
      <c r="AE46" s="26">
        <f>'03_Gia_dinh_Vi_mo'!$F$40*E46</f>
        <v>432.60835834128471</v>
      </c>
      <c r="AF46" s="26">
        <f t="shared" si="33"/>
        <v>4113.1359616587151</v>
      </c>
      <c r="AG46" s="26">
        <f>IF(A46&lt;=60, '06_CAPEX_Dau_tu'!$G$32/60, 0)</f>
        <v>35.674629800000012</v>
      </c>
      <c r="AH46" s="26">
        <f t="shared" si="34"/>
        <v>4077.4613318587153</v>
      </c>
      <c r="AI46" s="26">
        <f>IF(AH46&gt;0, AH46*'03_Gia_dinh_Vi_mo'!$C$11, 0)</f>
        <v>815.49226637174309</v>
      </c>
      <c r="AJ46" s="26">
        <f t="shared" si="35"/>
        <v>3261.9690654869723</v>
      </c>
      <c r="AK46" s="26">
        <f t="shared" si="36"/>
        <v>3297.6436952869722</v>
      </c>
      <c r="AL46" s="26">
        <f t="shared" si="37"/>
        <v>119529.76277888539</v>
      </c>
      <c r="AM46" s="26">
        <f t="shared" si="21"/>
        <v>2045.5940001054917</v>
      </c>
    </row>
    <row r="47" spans="1:39" ht="20.100000000000001" customHeight="1" x14ac:dyDescent="0.2">
      <c r="A47" s="9">
        <v>42</v>
      </c>
      <c r="B47" s="9">
        <f t="shared" si="22"/>
        <v>4</v>
      </c>
      <c r="C47" s="82">
        <f>'03_Gia_dinh_Vi_mo'!$G$44</f>
        <v>1</v>
      </c>
      <c r="D47" s="83">
        <f>(1+'03_Gia_dinh_Vi_mo'!$C$10)^(B47-1)</f>
        <v>1.092727</v>
      </c>
      <c r="E47" s="83">
        <f>(1+'03_Gia_dinh_Vi_mo'!$C$9)^(B47-1)</f>
        <v>1.2527265520000002</v>
      </c>
      <c r="F47" s="83">
        <f>1/(1+'03_Gia_dinh_Vi_mo'!$C$12)^(A47/12)</f>
        <v>0.61313704823888482</v>
      </c>
      <c r="G47" s="26">
        <f>'03_Gia_dinh_Vi_mo'!$C$22*C47*D47</f>
        <v>2272.8721599999999</v>
      </c>
      <c r="H47" s="26">
        <f>G47*'03_Gia_dinh_Vi_mo'!$C$17</f>
        <v>454.574432</v>
      </c>
      <c r="I47" s="26">
        <f>'03_Gia_dinh_Vi_mo'!$F$40*E47</f>
        <v>432.60835834128471</v>
      </c>
      <c r="J47" s="26">
        <f t="shared" si="23"/>
        <v>1385.6893696587153</v>
      </c>
      <c r="K47" s="26">
        <f>IF(A47&lt;=60, '06_CAPEX_Dau_tu'!$G$32/60, 0)</f>
        <v>35.674629800000012</v>
      </c>
      <c r="L47" s="26">
        <f t="shared" si="24"/>
        <v>1350.0147398587153</v>
      </c>
      <c r="M47" s="26">
        <f>IF(L47&gt;0, L47*'03_Gia_dinh_Vi_mo'!$C$11, 0)</f>
        <v>270.00294797174308</v>
      </c>
      <c r="N47" s="26">
        <f t="shared" si="25"/>
        <v>1080.0117918869723</v>
      </c>
      <c r="O47" s="26">
        <f t="shared" si="26"/>
        <v>1115.6864216869722</v>
      </c>
      <c r="P47" s="26">
        <f t="shared" si="27"/>
        <v>39666.353392572404</v>
      </c>
      <c r="Q47" s="26">
        <f t="shared" si="19"/>
        <v>684.06867935335379</v>
      </c>
      <c r="R47" s="26">
        <f>'03_Gia_dinh_Vi_mo'!$C$23*C47*D47</f>
        <v>3977.52628</v>
      </c>
      <c r="S47" s="26">
        <f>R47*'03_Gia_dinh_Vi_mo'!$C$17</f>
        <v>795.50525600000003</v>
      </c>
      <c r="T47" s="26">
        <f>'03_Gia_dinh_Vi_mo'!$F$40*E47</f>
        <v>432.60835834128471</v>
      </c>
      <c r="U47" s="26">
        <f t="shared" si="28"/>
        <v>2749.4126656587155</v>
      </c>
      <c r="V47" s="26">
        <f>IF(A47&lt;=60, '06_CAPEX_Dau_tu'!$G$32/60, 0)</f>
        <v>35.674629800000012</v>
      </c>
      <c r="W47" s="26">
        <f t="shared" si="29"/>
        <v>2713.7380358587156</v>
      </c>
      <c r="X47" s="26">
        <f>IF(W47&gt;0, W47*'03_Gia_dinh_Vi_mo'!$C$11, 0)</f>
        <v>542.7476071717432</v>
      </c>
      <c r="Y47" s="26">
        <f t="shared" si="30"/>
        <v>2170.9904286869723</v>
      </c>
      <c r="Z47" s="26">
        <f t="shared" si="31"/>
        <v>2206.6650584869722</v>
      </c>
      <c r="AA47" s="26">
        <f t="shared" si="32"/>
        <v>81246.879933372446</v>
      </c>
      <c r="AB47" s="26">
        <f t="shared" si="20"/>
        <v>1352.9881004125882</v>
      </c>
      <c r="AC47" s="26">
        <f>'03_Gia_dinh_Vi_mo'!$C$24*C47*D47</f>
        <v>5682.1804000000002</v>
      </c>
      <c r="AD47" s="26">
        <f>AC47*'03_Gia_dinh_Vi_mo'!$C$17</f>
        <v>1136.4360800000002</v>
      </c>
      <c r="AE47" s="26">
        <f>'03_Gia_dinh_Vi_mo'!$F$40*E47</f>
        <v>432.60835834128471</v>
      </c>
      <c r="AF47" s="26">
        <f t="shared" si="33"/>
        <v>4113.1359616587151</v>
      </c>
      <c r="AG47" s="26">
        <f>IF(A47&lt;=60, '06_CAPEX_Dau_tu'!$G$32/60, 0)</f>
        <v>35.674629800000012</v>
      </c>
      <c r="AH47" s="26">
        <f t="shared" si="34"/>
        <v>4077.4613318587153</v>
      </c>
      <c r="AI47" s="26">
        <f>IF(AH47&gt;0, AH47*'03_Gia_dinh_Vi_mo'!$C$11, 0)</f>
        <v>815.49226637174309</v>
      </c>
      <c r="AJ47" s="26">
        <f t="shared" si="35"/>
        <v>3261.9690654869723</v>
      </c>
      <c r="AK47" s="26">
        <f t="shared" si="36"/>
        <v>3297.6436952869722</v>
      </c>
      <c r="AL47" s="26">
        <f t="shared" si="37"/>
        <v>122827.40647417236</v>
      </c>
      <c r="AM47" s="26">
        <f t="shared" si="21"/>
        <v>2021.9075214718227</v>
      </c>
    </row>
    <row r="48" spans="1:39" ht="20.100000000000001" customHeight="1" x14ac:dyDescent="0.2">
      <c r="A48" s="9">
        <v>43</v>
      </c>
      <c r="B48" s="9">
        <f t="shared" si="22"/>
        <v>4</v>
      </c>
      <c r="C48" s="82">
        <f>'03_Gia_dinh_Vi_mo'!$G$44</f>
        <v>1</v>
      </c>
      <c r="D48" s="83">
        <f>(1+'03_Gia_dinh_Vi_mo'!$C$10)^(B48-1)</f>
        <v>1.092727</v>
      </c>
      <c r="E48" s="83">
        <f>(1+'03_Gia_dinh_Vi_mo'!$C$9)^(B48-1)</f>
        <v>1.2527265520000002</v>
      </c>
      <c r="F48" s="83">
        <f>1/(1+'03_Gia_dinh_Vi_mo'!$C$12)^(A48/12)</f>
        <v>0.6060373707897565</v>
      </c>
      <c r="G48" s="26">
        <f>'03_Gia_dinh_Vi_mo'!$C$22*C48*D48</f>
        <v>2272.8721599999999</v>
      </c>
      <c r="H48" s="26">
        <f>G48*'03_Gia_dinh_Vi_mo'!$C$17</f>
        <v>454.574432</v>
      </c>
      <c r="I48" s="26">
        <f>'03_Gia_dinh_Vi_mo'!$F$40*E48</f>
        <v>432.60835834128471</v>
      </c>
      <c r="J48" s="26">
        <f t="shared" si="23"/>
        <v>1385.6893696587153</v>
      </c>
      <c r="K48" s="26">
        <f>IF(A48&lt;=60, '06_CAPEX_Dau_tu'!$G$32/60, 0)</f>
        <v>35.674629800000012</v>
      </c>
      <c r="L48" s="26">
        <f t="shared" si="24"/>
        <v>1350.0147398587153</v>
      </c>
      <c r="M48" s="26">
        <f>IF(L48&gt;0, L48*'03_Gia_dinh_Vi_mo'!$C$11, 0)</f>
        <v>270.00294797174308</v>
      </c>
      <c r="N48" s="26">
        <f t="shared" si="25"/>
        <v>1080.0117918869723</v>
      </c>
      <c r="O48" s="26">
        <f t="shared" si="26"/>
        <v>1115.6864216869722</v>
      </c>
      <c r="P48" s="26">
        <f t="shared" si="27"/>
        <v>40782.039814259377</v>
      </c>
      <c r="Q48" s="26">
        <f t="shared" si="19"/>
        <v>676.14766562500415</v>
      </c>
      <c r="R48" s="26">
        <f>'03_Gia_dinh_Vi_mo'!$C$23*C48*D48</f>
        <v>3977.52628</v>
      </c>
      <c r="S48" s="26">
        <f>R48*'03_Gia_dinh_Vi_mo'!$C$17</f>
        <v>795.50525600000003</v>
      </c>
      <c r="T48" s="26">
        <f>'03_Gia_dinh_Vi_mo'!$F$40*E48</f>
        <v>432.60835834128471</v>
      </c>
      <c r="U48" s="26">
        <f t="shared" si="28"/>
        <v>2749.4126656587155</v>
      </c>
      <c r="V48" s="26">
        <f>IF(A48&lt;=60, '06_CAPEX_Dau_tu'!$G$32/60, 0)</f>
        <v>35.674629800000012</v>
      </c>
      <c r="W48" s="26">
        <f t="shared" si="29"/>
        <v>2713.7380358587156</v>
      </c>
      <c r="X48" s="26">
        <f>IF(W48&gt;0, W48*'03_Gia_dinh_Vi_mo'!$C$11, 0)</f>
        <v>542.7476071717432</v>
      </c>
      <c r="Y48" s="26">
        <f t="shared" si="30"/>
        <v>2170.9904286869723</v>
      </c>
      <c r="Z48" s="26">
        <f t="shared" si="31"/>
        <v>2206.6650584869722</v>
      </c>
      <c r="AA48" s="26">
        <f t="shared" si="32"/>
        <v>83453.544991859424</v>
      </c>
      <c r="AB48" s="26">
        <f t="shared" si="20"/>
        <v>1337.3214902590689</v>
      </c>
      <c r="AC48" s="26">
        <f>'03_Gia_dinh_Vi_mo'!$C$24*C48*D48</f>
        <v>5682.1804000000002</v>
      </c>
      <c r="AD48" s="26">
        <f>AC48*'03_Gia_dinh_Vi_mo'!$C$17</f>
        <v>1136.4360800000002</v>
      </c>
      <c r="AE48" s="26">
        <f>'03_Gia_dinh_Vi_mo'!$F$40*E48</f>
        <v>432.60835834128471</v>
      </c>
      <c r="AF48" s="26">
        <f t="shared" si="33"/>
        <v>4113.1359616587151</v>
      </c>
      <c r="AG48" s="26">
        <f>IF(A48&lt;=60, '06_CAPEX_Dau_tu'!$G$32/60, 0)</f>
        <v>35.674629800000012</v>
      </c>
      <c r="AH48" s="26">
        <f t="shared" si="34"/>
        <v>4077.4613318587153</v>
      </c>
      <c r="AI48" s="26">
        <f>IF(AH48&gt;0, AH48*'03_Gia_dinh_Vi_mo'!$C$11, 0)</f>
        <v>815.49226637174309</v>
      </c>
      <c r="AJ48" s="26">
        <f t="shared" si="35"/>
        <v>3261.9690654869723</v>
      </c>
      <c r="AK48" s="26">
        <f t="shared" si="36"/>
        <v>3297.6436952869722</v>
      </c>
      <c r="AL48" s="26">
        <f t="shared" si="37"/>
        <v>126125.05016945933</v>
      </c>
      <c r="AM48" s="26">
        <f t="shared" si="21"/>
        <v>1998.4953148931336</v>
      </c>
    </row>
    <row r="49" spans="1:39" ht="20.100000000000001" customHeight="1" x14ac:dyDescent="0.2">
      <c r="A49" s="9">
        <v>44</v>
      </c>
      <c r="B49" s="9">
        <f t="shared" si="22"/>
        <v>4</v>
      </c>
      <c r="C49" s="82">
        <f>'03_Gia_dinh_Vi_mo'!$G$44</f>
        <v>1</v>
      </c>
      <c r="D49" s="83">
        <f>(1+'03_Gia_dinh_Vi_mo'!$C$10)^(B49-1)</f>
        <v>1.092727</v>
      </c>
      <c r="E49" s="83">
        <f>(1+'03_Gia_dinh_Vi_mo'!$C$9)^(B49-1)</f>
        <v>1.2527265520000002</v>
      </c>
      <c r="F49" s="83">
        <f>1/(1+'03_Gia_dinh_Vi_mo'!$C$12)^(A49/12)</f>
        <v>0.59901990239980418</v>
      </c>
      <c r="G49" s="26">
        <f>'03_Gia_dinh_Vi_mo'!$C$22*C49*D49</f>
        <v>2272.8721599999999</v>
      </c>
      <c r="H49" s="26">
        <f>G49*'03_Gia_dinh_Vi_mo'!$C$17</f>
        <v>454.574432</v>
      </c>
      <c r="I49" s="26">
        <f>'03_Gia_dinh_Vi_mo'!$F$40*E49</f>
        <v>432.60835834128471</v>
      </c>
      <c r="J49" s="26">
        <f t="shared" si="23"/>
        <v>1385.6893696587153</v>
      </c>
      <c r="K49" s="26">
        <f>IF(A49&lt;=60, '06_CAPEX_Dau_tu'!$G$32/60, 0)</f>
        <v>35.674629800000012</v>
      </c>
      <c r="L49" s="26">
        <f t="shared" si="24"/>
        <v>1350.0147398587153</v>
      </c>
      <c r="M49" s="26">
        <f>IF(L49&gt;0, L49*'03_Gia_dinh_Vi_mo'!$C$11, 0)</f>
        <v>270.00294797174308</v>
      </c>
      <c r="N49" s="26">
        <f t="shared" si="25"/>
        <v>1080.0117918869723</v>
      </c>
      <c r="O49" s="26">
        <f t="shared" si="26"/>
        <v>1115.6864216869722</v>
      </c>
      <c r="P49" s="26">
        <f t="shared" si="27"/>
        <v>41897.726235946349</v>
      </c>
      <c r="Q49" s="26">
        <f t="shared" si="19"/>
        <v>668.31837142771678</v>
      </c>
      <c r="R49" s="26">
        <f>'03_Gia_dinh_Vi_mo'!$C$23*C49*D49</f>
        <v>3977.52628</v>
      </c>
      <c r="S49" s="26">
        <f>R49*'03_Gia_dinh_Vi_mo'!$C$17</f>
        <v>795.50525600000003</v>
      </c>
      <c r="T49" s="26">
        <f>'03_Gia_dinh_Vi_mo'!$F$40*E49</f>
        <v>432.60835834128471</v>
      </c>
      <c r="U49" s="26">
        <f t="shared" si="28"/>
        <v>2749.4126656587155</v>
      </c>
      <c r="V49" s="26">
        <f>IF(A49&lt;=60, '06_CAPEX_Dau_tu'!$G$32/60, 0)</f>
        <v>35.674629800000012</v>
      </c>
      <c r="W49" s="26">
        <f t="shared" si="29"/>
        <v>2713.7380358587156</v>
      </c>
      <c r="X49" s="26">
        <f>IF(W49&gt;0, W49*'03_Gia_dinh_Vi_mo'!$C$11, 0)</f>
        <v>542.7476071717432</v>
      </c>
      <c r="Y49" s="26">
        <f t="shared" si="30"/>
        <v>2170.9904286869723</v>
      </c>
      <c r="Z49" s="26">
        <f t="shared" si="31"/>
        <v>2206.6650584869722</v>
      </c>
      <c r="AA49" s="26">
        <f t="shared" si="32"/>
        <v>85660.210050346403</v>
      </c>
      <c r="AB49" s="26">
        <f t="shared" si="20"/>
        <v>1321.8362879639242</v>
      </c>
      <c r="AC49" s="26">
        <f>'03_Gia_dinh_Vi_mo'!$C$24*C49*D49</f>
        <v>5682.1804000000002</v>
      </c>
      <c r="AD49" s="26">
        <f>AC49*'03_Gia_dinh_Vi_mo'!$C$17</f>
        <v>1136.4360800000002</v>
      </c>
      <c r="AE49" s="26">
        <f>'03_Gia_dinh_Vi_mo'!$F$40*E49</f>
        <v>432.60835834128471</v>
      </c>
      <c r="AF49" s="26">
        <f t="shared" si="33"/>
        <v>4113.1359616587151</v>
      </c>
      <c r="AG49" s="26">
        <f>IF(A49&lt;=60, '06_CAPEX_Dau_tu'!$G$32/60, 0)</f>
        <v>35.674629800000012</v>
      </c>
      <c r="AH49" s="26">
        <f t="shared" si="34"/>
        <v>4077.4613318587153</v>
      </c>
      <c r="AI49" s="26">
        <f>IF(AH49&gt;0, AH49*'03_Gia_dinh_Vi_mo'!$C$11, 0)</f>
        <v>815.49226637174309</v>
      </c>
      <c r="AJ49" s="26">
        <f t="shared" si="35"/>
        <v>3261.9690654869723</v>
      </c>
      <c r="AK49" s="26">
        <f t="shared" si="36"/>
        <v>3297.6436952869722</v>
      </c>
      <c r="AL49" s="26">
        <f t="shared" si="37"/>
        <v>129422.6938647463</v>
      </c>
      <c r="AM49" s="26">
        <f t="shared" si="21"/>
        <v>1975.3542045001316</v>
      </c>
    </row>
    <row r="50" spans="1:39" ht="20.100000000000001" customHeight="1" x14ac:dyDescent="0.2">
      <c r="A50" s="9">
        <v>45</v>
      </c>
      <c r="B50" s="9">
        <f t="shared" si="22"/>
        <v>4</v>
      </c>
      <c r="C50" s="82">
        <f>'03_Gia_dinh_Vi_mo'!$G$44</f>
        <v>1</v>
      </c>
      <c r="D50" s="83">
        <f>(1+'03_Gia_dinh_Vi_mo'!$C$10)^(B50-1)</f>
        <v>1.092727</v>
      </c>
      <c r="E50" s="83">
        <f>(1+'03_Gia_dinh_Vi_mo'!$C$9)^(B50-1)</f>
        <v>1.2527265520000002</v>
      </c>
      <c r="F50" s="83">
        <f>1/(1+'03_Gia_dinh_Vi_mo'!$C$12)^(A50/12)</f>
        <v>0.59208369114840065</v>
      </c>
      <c r="G50" s="26">
        <f>'03_Gia_dinh_Vi_mo'!$C$22*C50*D50</f>
        <v>2272.8721599999999</v>
      </c>
      <c r="H50" s="26">
        <f>G50*'03_Gia_dinh_Vi_mo'!$C$17</f>
        <v>454.574432</v>
      </c>
      <c r="I50" s="26">
        <f>'03_Gia_dinh_Vi_mo'!$F$40*E50</f>
        <v>432.60835834128471</v>
      </c>
      <c r="J50" s="26">
        <f t="shared" si="23"/>
        <v>1385.6893696587153</v>
      </c>
      <c r="K50" s="26">
        <f>IF(A50&lt;=60, '06_CAPEX_Dau_tu'!$G$32/60, 0)</f>
        <v>35.674629800000012</v>
      </c>
      <c r="L50" s="26">
        <f t="shared" si="24"/>
        <v>1350.0147398587153</v>
      </c>
      <c r="M50" s="26">
        <f>IF(L50&gt;0, L50*'03_Gia_dinh_Vi_mo'!$C$11, 0)</f>
        <v>270.00294797174308</v>
      </c>
      <c r="N50" s="26">
        <f t="shared" si="25"/>
        <v>1080.0117918869723</v>
      </c>
      <c r="O50" s="26">
        <f t="shared" si="26"/>
        <v>1115.6864216869722</v>
      </c>
      <c r="P50" s="26">
        <f t="shared" si="27"/>
        <v>43013.412657633322</v>
      </c>
      <c r="Q50" s="26">
        <f t="shared" si="19"/>
        <v>660.57973471657351</v>
      </c>
      <c r="R50" s="26">
        <f>'03_Gia_dinh_Vi_mo'!$C$23*C50*D50</f>
        <v>3977.52628</v>
      </c>
      <c r="S50" s="26">
        <f>R50*'03_Gia_dinh_Vi_mo'!$C$17</f>
        <v>795.50525600000003</v>
      </c>
      <c r="T50" s="26">
        <f>'03_Gia_dinh_Vi_mo'!$F$40*E50</f>
        <v>432.60835834128471</v>
      </c>
      <c r="U50" s="26">
        <f t="shared" si="28"/>
        <v>2749.4126656587155</v>
      </c>
      <c r="V50" s="26">
        <f>IF(A50&lt;=60, '06_CAPEX_Dau_tu'!$G$32/60, 0)</f>
        <v>35.674629800000012</v>
      </c>
      <c r="W50" s="26">
        <f t="shared" si="29"/>
        <v>2713.7380358587156</v>
      </c>
      <c r="X50" s="26">
        <f>IF(W50&gt;0, W50*'03_Gia_dinh_Vi_mo'!$C$11, 0)</f>
        <v>542.7476071717432</v>
      </c>
      <c r="Y50" s="26">
        <f t="shared" si="30"/>
        <v>2170.9904286869723</v>
      </c>
      <c r="Z50" s="26">
        <f t="shared" si="31"/>
        <v>2206.6650584869722</v>
      </c>
      <c r="AA50" s="26">
        <f t="shared" si="32"/>
        <v>87866.875108833381</v>
      </c>
      <c r="AB50" s="26">
        <f t="shared" si="20"/>
        <v>1306.5303929571678</v>
      </c>
      <c r="AC50" s="26">
        <f>'03_Gia_dinh_Vi_mo'!$C$24*C50*D50</f>
        <v>5682.1804000000002</v>
      </c>
      <c r="AD50" s="26">
        <f>AC50*'03_Gia_dinh_Vi_mo'!$C$17</f>
        <v>1136.4360800000002</v>
      </c>
      <c r="AE50" s="26">
        <f>'03_Gia_dinh_Vi_mo'!$F$40*E50</f>
        <v>432.60835834128471</v>
      </c>
      <c r="AF50" s="26">
        <f t="shared" si="33"/>
        <v>4113.1359616587151</v>
      </c>
      <c r="AG50" s="26">
        <f>IF(A50&lt;=60, '06_CAPEX_Dau_tu'!$G$32/60, 0)</f>
        <v>35.674629800000012</v>
      </c>
      <c r="AH50" s="26">
        <f t="shared" si="34"/>
        <v>4077.4613318587153</v>
      </c>
      <c r="AI50" s="26">
        <f>IF(AH50&gt;0, AH50*'03_Gia_dinh_Vi_mo'!$C$11, 0)</f>
        <v>815.49226637174309</v>
      </c>
      <c r="AJ50" s="26">
        <f t="shared" si="35"/>
        <v>3261.9690654869723</v>
      </c>
      <c r="AK50" s="26">
        <f t="shared" si="36"/>
        <v>3297.6436952869722</v>
      </c>
      <c r="AL50" s="26">
        <f t="shared" si="37"/>
        <v>132720.33756003328</v>
      </c>
      <c r="AM50" s="26">
        <f t="shared" si="21"/>
        <v>1952.4810511977623</v>
      </c>
    </row>
    <row r="51" spans="1:39" ht="20.100000000000001" customHeight="1" x14ac:dyDescent="0.2">
      <c r="A51" s="9">
        <v>46</v>
      </c>
      <c r="B51" s="9">
        <f t="shared" si="22"/>
        <v>4</v>
      </c>
      <c r="C51" s="82">
        <f>'03_Gia_dinh_Vi_mo'!$G$44</f>
        <v>1</v>
      </c>
      <c r="D51" s="83">
        <f>(1+'03_Gia_dinh_Vi_mo'!$C$10)^(B51-1)</f>
        <v>1.092727</v>
      </c>
      <c r="E51" s="83">
        <f>(1+'03_Gia_dinh_Vi_mo'!$C$9)^(B51-1)</f>
        <v>1.2527265520000002</v>
      </c>
      <c r="F51" s="83">
        <f>1/(1+'03_Gia_dinh_Vi_mo'!$C$12)^(A51/12)</f>
        <v>0.58522779613746145</v>
      </c>
      <c r="G51" s="26">
        <f>'03_Gia_dinh_Vi_mo'!$C$22*C51*D51</f>
        <v>2272.8721599999999</v>
      </c>
      <c r="H51" s="26">
        <f>G51*'03_Gia_dinh_Vi_mo'!$C$17</f>
        <v>454.574432</v>
      </c>
      <c r="I51" s="26">
        <f>'03_Gia_dinh_Vi_mo'!$F$40*E51</f>
        <v>432.60835834128471</v>
      </c>
      <c r="J51" s="26">
        <f t="shared" si="23"/>
        <v>1385.6893696587153</v>
      </c>
      <c r="K51" s="26">
        <f>IF(A51&lt;=60, '06_CAPEX_Dau_tu'!$G$32/60, 0)</f>
        <v>35.674629800000012</v>
      </c>
      <c r="L51" s="26">
        <f t="shared" si="24"/>
        <v>1350.0147398587153</v>
      </c>
      <c r="M51" s="26">
        <f>IF(L51&gt;0, L51*'03_Gia_dinh_Vi_mo'!$C$11, 0)</f>
        <v>270.00294797174308</v>
      </c>
      <c r="N51" s="26">
        <f t="shared" si="25"/>
        <v>1080.0117918869723</v>
      </c>
      <c r="O51" s="26">
        <f t="shared" si="26"/>
        <v>1115.6864216869722</v>
      </c>
      <c r="P51" s="26">
        <f t="shared" si="27"/>
        <v>44129.099079320295</v>
      </c>
      <c r="Q51" s="26">
        <f t="shared" si="19"/>
        <v>652.93070574435717</v>
      </c>
      <c r="R51" s="26">
        <f>'03_Gia_dinh_Vi_mo'!$C$23*C51*D51</f>
        <v>3977.52628</v>
      </c>
      <c r="S51" s="26">
        <f>R51*'03_Gia_dinh_Vi_mo'!$C$17</f>
        <v>795.50525600000003</v>
      </c>
      <c r="T51" s="26">
        <f>'03_Gia_dinh_Vi_mo'!$F$40*E51</f>
        <v>432.60835834128471</v>
      </c>
      <c r="U51" s="26">
        <f t="shared" si="28"/>
        <v>2749.4126656587155</v>
      </c>
      <c r="V51" s="26">
        <f>IF(A51&lt;=60, '06_CAPEX_Dau_tu'!$G$32/60, 0)</f>
        <v>35.674629800000012</v>
      </c>
      <c r="W51" s="26">
        <f t="shared" si="29"/>
        <v>2713.7380358587156</v>
      </c>
      <c r="X51" s="26">
        <f>IF(W51&gt;0, W51*'03_Gia_dinh_Vi_mo'!$C$11, 0)</f>
        <v>542.7476071717432</v>
      </c>
      <c r="Y51" s="26">
        <f t="shared" si="30"/>
        <v>2170.9904286869723</v>
      </c>
      <c r="Z51" s="26">
        <f t="shared" si="31"/>
        <v>2206.6650584869722</v>
      </c>
      <c r="AA51" s="26">
        <f t="shared" si="32"/>
        <v>90073.54016732036</v>
      </c>
      <c r="AB51" s="26">
        <f t="shared" si="20"/>
        <v>1291.4017289918731</v>
      </c>
      <c r="AC51" s="26">
        <f>'03_Gia_dinh_Vi_mo'!$C$24*C51*D51</f>
        <v>5682.1804000000002</v>
      </c>
      <c r="AD51" s="26">
        <f>AC51*'03_Gia_dinh_Vi_mo'!$C$17</f>
        <v>1136.4360800000002</v>
      </c>
      <c r="AE51" s="26">
        <f>'03_Gia_dinh_Vi_mo'!$F$40*E51</f>
        <v>432.60835834128471</v>
      </c>
      <c r="AF51" s="26">
        <f t="shared" si="33"/>
        <v>4113.1359616587151</v>
      </c>
      <c r="AG51" s="26">
        <f>IF(A51&lt;=60, '06_CAPEX_Dau_tu'!$G$32/60, 0)</f>
        <v>35.674629800000012</v>
      </c>
      <c r="AH51" s="26">
        <f t="shared" si="34"/>
        <v>4077.4613318587153</v>
      </c>
      <c r="AI51" s="26">
        <f>IF(AH51&gt;0, AH51*'03_Gia_dinh_Vi_mo'!$C$11, 0)</f>
        <v>815.49226637174309</v>
      </c>
      <c r="AJ51" s="26">
        <f t="shared" si="35"/>
        <v>3261.9690654869723</v>
      </c>
      <c r="AK51" s="26">
        <f t="shared" si="36"/>
        <v>3297.6436952869722</v>
      </c>
      <c r="AL51" s="26">
        <f t="shared" si="37"/>
        <v>136017.98125532025</v>
      </c>
      <c r="AM51" s="26">
        <f t="shared" si="21"/>
        <v>1929.8727522393892</v>
      </c>
    </row>
    <row r="52" spans="1:39" ht="20.100000000000001" customHeight="1" x14ac:dyDescent="0.2">
      <c r="A52" s="9">
        <v>47</v>
      </c>
      <c r="B52" s="9">
        <f t="shared" si="22"/>
        <v>4</v>
      </c>
      <c r="C52" s="82">
        <f>'03_Gia_dinh_Vi_mo'!$G$44</f>
        <v>1</v>
      </c>
      <c r="D52" s="83">
        <f>(1+'03_Gia_dinh_Vi_mo'!$C$10)^(B52-1)</f>
        <v>1.092727</v>
      </c>
      <c r="E52" s="83">
        <f>(1+'03_Gia_dinh_Vi_mo'!$C$9)^(B52-1)</f>
        <v>1.2527265520000002</v>
      </c>
      <c r="F52" s="83">
        <f>1/(1+'03_Gia_dinh_Vi_mo'!$C$12)^(A52/12)</f>
        <v>0.57845128736381213</v>
      </c>
      <c r="G52" s="26">
        <f>'03_Gia_dinh_Vi_mo'!$C$22*C52*D52</f>
        <v>2272.8721599999999</v>
      </c>
      <c r="H52" s="26">
        <f>G52*'03_Gia_dinh_Vi_mo'!$C$17</f>
        <v>454.574432</v>
      </c>
      <c r="I52" s="26">
        <f>'03_Gia_dinh_Vi_mo'!$F$40*E52</f>
        <v>432.60835834128471</v>
      </c>
      <c r="J52" s="26">
        <f t="shared" si="23"/>
        <v>1385.6893696587153</v>
      </c>
      <c r="K52" s="26">
        <f>IF(A52&lt;=60, '06_CAPEX_Dau_tu'!$G$32/60, 0)</f>
        <v>35.674629800000012</v>
      </c>
      <c r="L52" s="26">
        <f t="shared" si="24"/>
        <v>1350.0147398587153</v>
      </c>
      <c r="M52" s="26">
        <f>IF(L52&gt;0, L52*'03_Gia_dinh_Vi_mo'!$C$11, 0)</f>
        <v>270.00294797174308</v>
      </c>
      <c r="N52" s="26">
        <f t="shared" si="25"/>
        <v>1080.0117918869723</v>
      </c>
      <c r="O52" s="26">
        <f t="shared" si="26"/>
        <v>1115.6864216869722</v>
      </c>
      <c r="P52" s="26">
        <f t="shared" si="27"/>
        <v>45244.785501007267</v>
      </c>
      <c r="Q52" s="26">
        <f t="shared" si="19"/>
        <v>645.37024691915406</v>
      </c>
      <c r="R52" s="26">
        <f>'03_Gia_dinh_Vi_mo'!$C$23*C52*D52</f>
        <v>3977.52628</v>
      </c>
      <c r="S52" s="26">
        <f>R52*'03_Gia_dinh_Vi_mo'!$C$17</f>
        <v>795.50525600000003</v>
      </c>
      <c r="T52" s="26">
        <f>'03_Gia_dinh_Vi_mo'!$F$40*E52</f>
        <v>432.60835834128471</v>
      </c>
      <c r="U52" s="26">
        <f t="shared" si="28"/>
        <v>2749.4126656587155</v>
      </c>
      <c r="V52" s="26">
        <f>IF(A52&lt;=60, '06_CAPEX_Dau_tu'!$G$32/60, 0)</f>
        <v>35.674629800000012</v>
      </c>
      <c r="W52" s="26">
        <f t="shared" si="29"/>
        <v>2713.7380358587156</v>
      </c>
      <c r="X52" s="26">
        <f>IF(W52&gt;0, W52*'03_Gia_dinh_Vi_mo'!$C$11, 0)</f>
        <v>542.7476071717432</v>
      </c>
      <c r="Y52" s="26">
        <f t="shared" si="30"/>
        <v>2170.9904286869723</v>
      </c>
      <c r="Z52" s="26">
        <f t="shared" si="31"/>
        <v>2206.6650584869722</v>
      </c>
      <c r="AA52" s="26">
        <f t="shared" si="32"/>
        <v>92280.205225807338</v>
      </c>
      <c r="AB52" s="26">
        <f t="shared" si="20"/>
        <v>1276.4482438625307</v>
      </c>
      <c r="AC52" s="26">
        <f>'03_Gia_dinh_Vi_mo'!$C$24*C52*D52</f>
        <v>5682.1804000000002</v>
      </c>
      <c r="AD52" s="26">
        <f>AC52*'03_Gia_dinh_Vi_mo'!$C$17</f>
        <v>1136.4360800000002</v>
      </c>
      <c r="AE52" s="26">
        <f>'03_Gia_dinh_Vi_mo'!$F$40*E52</f>
        <v>432.60835834128471</v>
      </c>
      <c r="AF52" s="26">
        <f t="shared" si="33"/>
        <v>4113.1359616587151</v>
      </c>
      <c r="AG52" s="26">
        <f>IF(A52&lt;=60, '06_CAPEX_Dau_tu'!$G$32/60, 0)</f>
        <v>35.674629800000012</v>
      </c>
      <c r="AH52" s="26">
        <f t="shared" si="34"/>
        <v>4077.4613318587153</v>
      </c>
      <c r="AI52" s="26">
        <f>IF(AH52&gt;0, AH52*'03_Gia_dinh_Vi_mo'!$C$11, 0)</f>
        <v>815.49226637174309</v>
      </c>
      <c r="AJ52" s="26">
        <f t="shared" si="35"/>
        <v>3261.9690654869723</v>
      </c>
      <c r="AK52" s="26">
        <f t="shared" si="36"/>
        <v>3297.6436952869722</v>
      </c>
      <c r="AL52" s="26">
        <f t="shared" si="37"/>
        <v>139315.62495060722</v>
      </c>
      <c r="AM52" s="26">
        <f t="shared" si="21"/>
        <v>1907.5262408059077</v>
      </c>
    </row>
    <row r="53" spans="1:39" ht="20.100000000000001" customHeight="1" x14ac:dyDescent="0.2">
      <c r="A53" s="9">
        <v>48</v>
      </c>
      <c r="B53" s="9">
        <f t="shared" si="22"/>
        <v>4</v>
      </c>
      <c r="C53" s="82">
        <f>'03_Gia_dinh_Vi_mo'!$G$44</f>
        <v>1</v>
      </c>
      <c r="D53" s="83">
        <f>(1+'03_Gia_dinh_Vi_mo'!$C$10)^(B53-1)</f>
        <v>1.092727</v>
      </c>
      <c r="E53" s="83">
        <f>(1+'03_Gia_dinh_Vi_mo'!$C$9)^(B53-1)</f>
        <v>1.2527265520000002</v>
      </c>
      <c r="F53" s="83">
        <f>1/(1+'03_Gia_dinh_Vi_mo'!$C$12)^(A53/12)</f>
        <v>0.57175324559303342</v>
      </c>
      <c r="G53" s="26">
        <f>'03_Gia_dinh_Vi_mo'!$C$22*C53*D53</f>
        <v>2272.8721599999999</v>
      </c>
      <c r="H53" s="26">
        <f>G53*'03_Gia_dinh_Vi_mo'!$C$17</f>
        <v>454.574432</v>
      </c>
      <c r="I53" s="26">
        <f>'03_Gia_dinh_Vi_mo'!$F$40*E53</f>
        <v>432.60835834128471</v>
      </c>
      <c r="J53" s="26">
        <f t="shared" si="23"/>
        <v>1385.6893696587153</v>
      </c>
      <c r="K53" s="26">
        <f>IF(A53&lt;=60, '06_CAPEX_Dau_tu'!$G$32/60, 0)</f>
        <v>35.674629800000012</v>
      </c>
      <c r="L53" s="26">
        <f t="shared" si="24"/>
        <v>1350.0147398587153</v>
      </c>
      <c r="M53" s="26">
        <f>IF(L53&gt;0, L53*'03_Gia_dinh_Vi_mo'!$C$11, 0)</f>
        <v>270.00294797174308</v>
      </c>
      <c r="N53" s="26">
        <f t="shared" si="25"/>
        <v>1080.0117918869723</v>
      </c>
      <c r="O53" s="26">
        <f t="shared" si="26"/>
        <v>1115.6864216869722</v>
      </c>
      <c r="P53" s="26">
        <f t="shared" si="27"/>
        <v>46360.47192269424</v>
      </c>
      <c r="Q53" s="26">
        <f t="shared" si="19"/>
        <v>637.89733266360406</v>
      </c>
      <c r="R53" s="26">
        <f>'03_Gia_dinh_Vi_mo'!$C$23*C53*D53</f>
        <v>3977.52628</v>
      </c>
      <c r="S53" s="26">
        <f>R53*'03_Gia_dinh_Vi_mo'!$C$17</f>
        <v>795.50525600000003</v>
      </c>
      <c r="T53" s="26">
        <f>'03_Gia_dinh_Vi_mo'!$F$40*E53</f>
        <v>432.60835834128471</v>
      </c>
      <c r="U53" s="26">
        <f t="shared" si="28"/>
        <v>2749.4126656587155</v>
      </c>
      <c r="V53" s="26">
        <f>IF(A53&lt;=60, '06_CAPEX_Dau_tu'!$G$32/60, 0)</f>
        <v>35.674629800000012</v>
      </c>
      <c r="W53" s="26">
        <f t="shared" si="29"/>
        <v>2713.7380358587156</v>
      </c>
      <c r="X53" s="26">
        <f>IF(W53&gt;0, W53*'03_Gia_dinh_Vi_mo'!$C$11, 0)</f>
        <v>542.7476071717432</v>
      </c>
      <c r="Y53" s="26">
        <f t="shared" si="30"/>
        <v>2170.9904286869723</v>
      </c>
      <c r="Z53" s="26">
        <f t="shared" si="31"/>
        <v>2206.6650584869722</v>
      </c>
      <c r="AA53" s="26">
        <f t="shared" si="32"/>
        <v>94486.870284294317</v>
      </c>
      <c r="AB53" s="26">
        <f t="shared" si="20"/>
        <v>1261.6679091266672</v>
      </c>
      <c r="AC53" s="26">
        <f>'03_Gia_dinh_Vi_mo'!$C$24*C53*D53</f>
        <v>5682.1804000000002</v>
      </c>
      <c r="AD53" s="26">
        <f>AC53*'03_Gia_dinh_Vi_mo'!$C$17</f>
        <v>1136.4360800000002</v>
      </c>
      <c r="AE53" s="26">
        <f>'03_Gia_dinh_Vi_mo'!$F$40*E53</f>
        <v>432.60835834128471</v>
      </c>
      <c r="AF53" s="26">
        <f t="shared" si="33"/>
        <v>4113.1359616587151</v>
      </c>
      <c r="AG53" s="26">
        <f>IF(A53&lt;=60, '06_CAPEX_Dau_tu'!$G$32/60, 0)</f>
        <v>35.674629800000012</v>
      </c>
      <c r="AH53" s="26">
        <f t="shared" si="34"/>
        <v>4077.4613318587153</v>
      </c>
      <c r="AI53" s="26">
        <f>IF(AH53&gt;0, AH53*'03_Gia_dinh_Vi_mo'!$C$11, 0)</f>
        <v>815.49226637174309</v>
      </c>
      <c r="AJ53" s="26">
        <f t="shared" si="35"/>
        <v>3261.9690654869723</v>
      </c>
      <c r="AK53" s="26">
        <f t="shared" si="36"/>
        <v>3297.6436952869722</v>
      </c>
      <c r="AL53" s="26">
        <f t="shared" si="37"/>
        <v>142613.26864589419</v>
      </c>
      <c r="AM53" s="26">
        <f t="shared" si="21"/>
        <v>1885.4384855897304</v>
      </c>
    </row>
    <row r="54" spans="1:39" ht="20.100000000000001" customHeight="1" x14ac:dyDescent="0.2">
      <c r="A54" s="9">
        <v>49</v>
      </c>
      <c r="B54" s="9">
        <f t="shared" si="22"/>
        <v>5</v>
      </c>
      <c r="C54" s="82">
        <f>'03_Gia_dinh_Vi_mo'!$G$44</f>
        <v>1</v>
      </c>
      <c r="D54" s="83">
        <f>(1+'03_Gia_dinh_Vi_mo'!$C$10)^(B54-1)</f>
        <v>1.1255088099999999</v>
      </c>
      <c r="E54" s="83">
        <f>(1+'03_Gia_dinh_Vi_mo'!$C$9)^(B54-1)</f>
        <v>1.3504392230560003</v>
      </c>
      <c r="F54" s="83">
        <f>1/(1+'03_Gia_dinh_Vi_mo'!$C$12)^(A54/12)</f>
        <v>0.56513276223476594</v>
      </c>
      <c r="G54" s="26">
        <f>'03_Gia_dinh_Vi_mo'!$C$22*C54*D54</f>
        <v>2341.0583247999998</v>
      </c>
      <c r="H54" s="26">
        <f>G54*'03_Gia_dinh_Vi_mo'!$C$17</f>
        <v>468.21166496000001</v>
      </c>
      <c r="I54" s="26">
        <f>'03_Gia_dinh_Vi_mo'!$F$40*E54</f>
        <v>466.35181029190494</v>
      </c>
      <c r="J54" s="26">
        <f t="shared" si="23"/>
        <v>1406.4948495480949</v>
      </c>
      <c r="K54" s="26">
        <f>IF(A54&lt;=60, '06_CAPEX_Dau_tu'!$G$32/60, 0)</f>
        <v>35.674629800000012</v>
      </c>
      <c r="L54" s="26">
        <f t="shared" si="24"/>
        <v>1370.8202197480948</v>
      </c>
      <c r="M54" s="26">
        <f>IF(L54&gt;0, L54*'03_Gia_dinh_Vi_mo'!$C$11, 0)</f>
        <v>274.16404394961899</v>
      </c>
      <c r="N54" s="26">
        <f t="shared" si="25"/>
        <v>1096.6561757984759</v>
      </c>
      <c r="O54" s="26">
        <f t="shared" si="26"/>
        <v>1132.3308055984758</v>
      </c>
      <c r="P54" s="26">
        <f t="shared" si="27"/>
        <v>47492.802728292714</v>
      </c>
      <c r="Q54" s="26">
        <f t="shared" si="19"/>
        <v>639.91723593138443</v>
      </c>
      <c r="R54" s="26">
        <f>'03_Gia_dinh_Vi_mo'!$C$23*C54*D54</f>
        <v>4096.8520683999996</v>
      </c>
      <c r="S54" s="26">
        <f>R54*'03_Gia_dinh_Vi_mo'!$C$17</f>
        <v>819.37041367999996</v>
      </c>
      <c r="T54" s="26">
        <f>'03_Gia_dinh_Vi_mo'!$F$40*E54</f>
        <v>466.35181029190494</v>
      </c>
      <c r="U54" s="26">
        <f t="shared" si="28"/>
        <v>2811.1298444280947</v>
      </c>
      <c r="V54" s="26">
        <f>IF(A54&lt;=60, '06_CAPEX_Dau_tu'!$G$32/60, 0)</f>
        <v>35.674629800000012</v>
      </c>
      <c r="W54" s="26">
        <f t="shared" si="29"/>
        <v>2775.4552146280948</v>
      </c>
      <c r="X54" s="26">
        <f>IF(W54&gt;0, W54*'03_Gia_dinh_Vi_mo'!$C$11, 0)</f>
        <v>555.09104292561904</v>
      </c>
      <c r="Y54" s="26">
        <f t="shared" si="30"/>
        <v>2220.3641717024757</v>
      </c>
      <c r="Z54" s="26">
        <f t="shared" si="31"/>
        <v>2256.0388015024755</v>
      </c>
      <c r="AA54" s="26">
        <f t="shared" si="32"/>
        <v>96742.909085796797</v>
      </c>
      <c r="AB54" s="26">
        <f t="shared" si="20"/>
        <v>1274.9614396019049</v>
      </c>
      <c r="AC54" s="26">
        <f>'03_Gia_dinh_Vi_mo'!$C$24*C54*D54</f>
        <v>5852.6458119999998</v>
      </c>
      <c r="AD54" s="26">
        <f>AC54*'03_Gia_dinh_Vi_mo'!$C$17</f>
        <v>1170.5291623999999</v>
      </c>
      <c r="AE54" s="26">
        <f>'03_Gia_dinh_Vi_mo'!$F$40*E54</f>
        <v>466.35181029190494</v>
      </c>
      <c r="AF54" s="26">
        <f t="shared" si="33"/>
        <v>4215.7648393080945</v>
      </c>
      <c r="AG54" s="26">
        <f>IF(A54&lt;=60, '06_CAPEX_Dau_tu'!$G$32/60, 0)</f>
        <v>35.674629800000012</v>
      </c>
      <c r="AH54" s="26">
        <f t="shared" si="34"/>
        <v>4180.0902095080946</v>
      </c>
      <c r="AI54" s="26">
        <f>IF(AH54&gt;0, AH54*'03_Gia_dinh_Vi_mo'!$C$11, 0)</f>
        <v>836.01804190161897</v>
      </c>
      <c r="AJ54" s="26">
        <f t="shared" si="35"/>
        <v>3344.0721676064759</v>
      </c>
      <c r="AK54" s="26">
        <f t="shared" si="36"/>
        <v>3379.7467974064757</v>
      </c>
      <c r="AL54" s="26">
        <f t="shared" si="37"/>
        <v>145993.01544330065</v>
      </c>
      <c r="AM54" s="26">
        <f t="shared" si="21"/>
        <v>1910.0056432724255</v>
      </c>
    </row>
    <row r="55" spans="1:39" ht="20.100000000000001" customHeight="1" x14ac:dyDescent="0.2">
      <c r="A55" s="9">
        <v>50</v>
      </c>
      <c r="B55" s="9">
        <f t="shared" si="22"/>
        <v>5</v>
      </c>
      <c r="C55" s="82">
        <f>'03_Gia_dinh_Vi_mo'!$G$44</f>
        <v>1</v>
      </c>
      <c r="D55" s="83">
        <f>(1+'03_Gia_dinh_Vi_mo'!$C$10)^(B55-1)</f>
        <v>1.1255088099999999</v>
      </c>
      <c r="E55" s="83">
        <f>(1+'03_Gia_dinh_Vi_mo'!$C$9)^(B55-1)</f>
        <v>1.3504392230560003</v>
      </c>
      <c r="F55" s="83">
        <f>1/(1+'03_Gia_dinh_Vi_mo'!$C$12)^(A55/12)</f>
        <v>0.55858893921946084</v>
      </c>
      <c r="G55" s="26">
        <f>'03_Gia_dinh_Vi_mo'!$C$22*C55*D55</f>
        <v>2341.0583247999998</v>
      </c>
      <c r="H55" s="26">
        <f>G55*'03_Gia_dinh_Vi_mo'!$C$17</f>
        <v>468.21166496000001</v>
      </c>
      <c r="I55" s="26">
        <f>'03_Gia_dinh_Vi_mo'!$F$40*E55</f>
        <v>466.35181029190494</v>
      </c>
      <c r="J55" s="26">
        <f t="shared" si="23"/>
        <v>1406.4948495480949</v>
      </c>
      <c r="K55" s="26">
        <f>IF(A55&lt;=60, '06_CAPEX_Dau_tu'!$G$32/60, 0)</f>
        <v>35.674629800000012</v>
      </c>
      <c r="L55" s="26">
        <f t="shared" si="24"/>
        <v>1370.8202197480948</v>
      </c>
      <c r="M55" s="26">
        <f>IF(L55&gt;0, L55*'03_Gia_dinh_Vi_mo'!$C$11, 0)</f>
        <v>274.16404394961899</v>
      </c>
      <c r="N55" s="26">
        <f t="shared" si="25"/>
        <v>1096.6561757984759</v>
      </c>
      <c r="O55" s="26">
        <f t="shared" si="26"/>
        <v>1132.3308055984758</v>
      </c>
      <c r="P55" s="26">
        <f t="shared" si="27"/>
        <v>48625.133533891189</v>
      </c>
      <c r="Q55" s="26">
        <f t="shared" si="19"/>
        <v>632.50746354477008</v>
      </c>
      <c r="R55" s="26">
        <f>'03_Gia_dinh_Vi_mo'!$C$23*C55*D55</f>
        <v>4096.8520683999996</v>
      </c>
      <c r="S55" s="26">
        <f>R55*'03_Gia_dinh_Vi_mo'!$C$17</f>
        <v>819.37041367999996</v>
      </c>
      <c r="T55" s="26">
        <f>'03_Gia_dinh_Vi_mo'!$F$40*E55</f>
        <v>466.35181029190494</v>
      </c>
      <c r="U55" s="26">
        <f t="shared" si="28"/>
        <v>2811.1298444280947</v>
      </c>
      <c r="V55" s="26">
        <f>IF(A55&lt;=60, '06_CAPEX_Dau_tu'!$G$32/60, 0)</f>
        <v>35.674629800000012</v>
      </c>
      <c r="W55" s="26">
        <f t="shared" si="29"/>
        <v>2775.4552146280948</v>
      </c>
      <c r="X55" s="26">
        <f>IF(W55&gt;0, W55*'03_Gia_dinh_Vi_mo'!$C$11, 0)</f>
        <v>555.09104292561904</v>
      </c>
      <c r="Y55" s="26">
        <f t="shared" si="30"/>
        <v>2220.3641717024757</v>
      </c>
      <c r="Z55" s="26">
        <f t="shared" si="31"/>
        <v>2256.0388015024755</v>
      </c>
      <c r="AA55" s="26">
        <f t="shared" si="32"/>
        <v>98998.947887299277</v>
      </c>
      <c r="AB55" s="26">
        <f t="shared" si="20"/>
        <v>1260.1983209692116</v>
      </c>
      <c r="AC55" s="26">
        <f>'03_Gia_dinh_Vi_mo'!$C$24*C55*D55</f>
        <v>5852.6458119999998</v>
      </c>
      <c r="AD55" s="26">
        <f>AC55*'03_Gia_dinh_Vi_mo'!$C$17</f>
        <v>1170.5291623999999</v>
      </c>
      <c r="AE55" s="26">
        <f>'03_Gia_dinh_Vi_mo'!$F$40*E55</f>
        <v>466.35181029190494</v>
      </c>
      <c r="AF55" s="26">
        <f t="shared" si="33"/>
        <v>4215.7648393080945</v>
      </c>
      <c r="AG55" s="26">
        <f>IF(A55&lt;=60, '06_CAPEX_Dau_tu'!$G$32/60, 0)</f>
        <v>35.674629800000012</v>
      </c>
      <c r="AH55" s="26">
        <f t="shared" si="34"/>
        <v>4180.0902095080946</v>
      </c>
      <c r="AI55" s="26">
        <f>IF(AH55&gt;0, AH55*'03_Gia_dinh_Vi_mo'!$C$11, 0)</f>
        <v>836.01804190161897</v>
      </c>
      <c r="AJ55" s="26">
        <f t="shared" si="35"/>
        <v>3344.0721676064759</v>
      </c>
      <c r="AK55" s="26">
        <f t="shared" si="36"/>
        <v>3379.7467974064757</v>
      </c>
      <c r="AL55" s="26">
        <f t="shared" si="37"/>
        <v>149372.76224070712</v>
      </c>
      <c r="AM55" s="26">
        <f t="shared" si="21"/>
        <v>1887.8891783936533</v>
      </c>
    </row>
    <row r="56" spans="1:39" ht="20.100000000000001" customHeight="1" x14ac:dyDescent="0.2">
      <c r="A56" s="9">
        <v>51</v>
      </c>
      <c r="B56" s="9">
        <f t="shared" si="22"/>
        <v>5</v>
      </c>
      <c r="C56" s="82">
        <f>'03_Gia_dinh_Vi_mo'!$G$44</f>
        <v>1</v>
      </c>
      <c r="D56" s="83">
        <f>(1+'03_Gia_dinh_Vi_mo'!$C$10)^(B56-1)</f>
        <v>1.1255088099999999</v>
      </c>
      <c r="E56" s="83">
        <f>(1+'03_Gia_dinh_Vi_mo'!$C$9)^(B56-1)</f>
        <v>1.3504392230560003</v>
      </c>
      <c r="F56" s="83">
        <f>1/(1+'03_Gia_dinh_Vi_mo'!$C$12)^(A56/12)</f>
        <v>0.55212088887655653</v>
      </c>
      <c r="G56" s="26">
        <f>'03_Gia_dinh_Vi_mo'!$C$22*C56*D56</f>
        <v>2341.0583247999998</v>
      </c>
      <c r="H56" s="26">
        <f>G56*'03_Gia_dinh_Vi_mo'!$C$17</f>
        <v>468.21166496000001</v>
      </c>
      <c r="I56" s="26">
        <f>'03_Gia_dinh_Vi_mo'!$F$40*E56</f>
        <v>466.35181029190494</v>
      </c>
      <c r="J56" s="26">
        <f t="shared" si="23"/>
        <v>1406.4948495480949</v>
      </c>
      <c r="K56" s="26">
        <f>IF(A56&lt;=60, '06_CAPEX_Dau_tu'!$G$32/60, 0)</f>
        <v>35.674629800000012</v>
      </c>
      <c r="L56" s="26">
        <f t="shared" si="24"/>
        <v>1370.8202197480948</v>
      </c>
      <c r="M56" s="26">
        <f>IF(L56&gt;0, L56*'03_Gia_dinh_Vi_mo'!$C$11, 0)</f>
        <v>274.16404394961899</v>
      </c>
      <c r="N56" s="26">
        <f t="shared" si="25"/>
        <v>1096.6561757984759</v>
      </c>
      <c r="O56" s="26">
        <f t="shared" si="26"/>
        <v>1132.3308055984758</v>
      </c>
      <c r="P56" s="26">
        <f t="shared" si="27"/>
        <v>49757.464339489663</v>
      </c>
      <c r="Q56" s="26">
        <f t="shared" si="19"/>
        <v>625.1834908893378</v>
      </c>
      <c r="R56" s="26">
        <f>'03_Gia_dinh_Vi_mo'!$C$23*C56*D56</f>
        <v>4096.8520683999996</v>
      </c>
      <c r="S56" s="26">
        <f>R56*'03_Gia_dinh_Vi_mo'!$C$17</f>
        <v>819.37041367999996</v>
      </c>
      <c r="T56" s="26">
        <f>'03_Gia_dinh_Vi_mo'!$F$40*E56</f>
        <v>466.35181029190494</v>
      </c>
      <c r="U56" s="26">
        <f t="shared" si="28"/>
        <v>2811.1298444280947</v>
      </c>
      <c r="V56" s="26">
        <f>IF(A56&lt;=60, '06_CAPEX_Dau_tu'!$G$32/60, 0)</f>
        <v>35.674629800000012</v>
      </c>
      <c r="W56" s="26">
        <f t="shared" si="29"/>
        <v>2775.4552146280948</v>
      </c>
      <c r="X56" s="26">
        <f>IF(W56&gt;0, W56*'03_Gia_dinh_Vi_mo'!$C$11, 0)</f>
        <v>555.09104292561904</v>
      </c>
      <c r="Y56" s="26">
        <f t="shared" si="30"/>
        <v>2220.3641717024757</v>
      </c>
      <c r="Z56" s="26">
        <f t="shared" si="31"/>
        <v>2256.0388015024755</v>
      </c>
      <c r="AA56" s="26">
        <f t="shared" si="32"/>
        <v>101254.98668880176</v>
      </c>
      <c r="AB56" s="26">
        <f t="shared" si="20"/>
        <v>1245.6061484255481</v>
      </c>
      <c r="AC56" s="26">
        <f>'03_Gia_dinh_Vi_mo'!$C$24*C56*D56</f>
        <v>5852.6458119999998</v>
      </c>
      <c r="AD56" s="26">
        <f>AC56*'03_Gia_dinh_Vi_mo'!$C$17</f>
        <v>1170.5291623999999</v>
      </c>
      <c r="AE56" s="26">
        <f>'03_Gia_dinh_Vi_mo'!$F$40*E56</f>
        <v>466.35181029190494</v>
      </c>
      <c r="AF56" s="26">
        <f t="shared" si="33"/>
        <v>4215.7648393080945</v>
      </c>
      <c r="AG56" s="26">
        <f>IF(A56&lt;=60, '06_CAPEX_Dau_tu'!$G$32/60, 0)</f>
        <v>35.674629800000012</v>
      </c>
      <c r="AH56" s="26">
        <f t="shared" si="34"/>
        <v>4180.0902095080946</v>
      </c>
      <c r="AI56" s="26">
        <f>IF(AH56&gt;0, AH56*'03_Gia_dinh_Vi_mo'!$C$11, 0)</f>
        <v>836.01804190161897</v>
      </c>
      <c r="AJ56" s="26">
        <f t="shared" si="35"/>
        <v>3344.0721676064759</v>
      </c>
      <c r="AK56" s="26">
        <f t="shared" si="36"/>
        <v>3379.7467974064757</v>
      </c>
      <c r="AL56" s="26">
        <f t="shared" si="37"/>
        <v>152752.50903811358</v>
      </c>
      <c r="AM56" s="26">
        <f t="shared" si="21"/>
        <v>1866.0288059617585</v>
      </c>
    </row>
    <row r="57" spans="1:39" ht="20.100000000000001" customHeight="1" x14ac:dyDescent="0.2">
      <c r="A57" s="9">
        <v>52</v>
      </c>
      <c r="B57" s="9">
        <f t="shared" si="22"/>
        <v>5</v>
      </c>
      <c r="C57" s="82">
        <f>'03_Gia_dinh_Vi_mo'!$G$44</f>
        <v>1</v>
      </c>
      <c r="D57" s="83">
        <f>(1+'03_Gia_dinh_Vi_mo'!$C$10)^(B57-1)</f>
        <v>1.1255088099999999</v>
      </c>
      <c r="E57" s="83">
        <f>(1+'03_Gia_dinh_Vi_mo'!$C$9)^(B57-1)</f>
        <v>1.3504392230560003</v>
      </c>
      <c r="F57" s="83">
        <f>1/(1+'03_Gia_dinh_Vi_mo'!$C$12)^(A57/12)</f>
        <v>0.54572773381406503</v>
      </c>
      <c r="G57" s="26">
        <f>'03_Gia_dinh_Vi_mo'!$C$22*C57*D57</f>
        <v>2341.0583247999998</v>
      </c>
      <c r="H57" s="26">
        <f>G57*'03_Gia_dinh_Vi_mo'!$C$17</f>
        <v>468.21166496000001</v>
      </c>
      <c r="I57" s="26">
        <f>'03_Gia_dinh_Vi_mo'!$F$40*E57</f>
        <v>466.35181029190494</v>
      </c>
      <c r="J57" s="26">
        <f t="shared" si="23"/>
        <v>1406.4948495480949</v>
      </c>
      <c r="K57" s="26">
        <f>IF(A57&lt;=60, '06_CAPEX_Dau_tu'!$G$32/60, 0)</f>
        <v>35.674629800000012</v>
      </c>
      <c r="L57" s="26">
        <f t="shared" si="24"/>
        <v>1370.8202197480948</v>
      </c>
      <c r="M57" s="26">
        <f>IF(L57&gt;0, L57*'03_Gia_dinh_Vi_mo'!$C$11, 0)</f>
        <v>274.16404394961899</v>
      </c>
      <c r="N57" s="26">
        <f t="shared" si="25"/>
        <v>1096.6561757984759</v>
      </c>
      <c r="O57" s="26">
        <f t="shared" si="26"/>
        <v>1132.3308055984758</v>
      </c>
      <c r="P57" s="26">
        <f t="shared" si="27"/>
        <v>50889.795145088137</v>
      </c>
      <c r="Q57" s="26">
        <f t="shared" si="19"/>
        <v>617.94432446711085</v>
      </c>
      <c r="R57" s="26">
        <f>'03_Gia_dinh_Vi_mo'!$C$23*C57*D57</f>
        <v>4096.8520683999996</v>
      </c>
      <c r="S57" s="26">
        <f>R57*'03_Gia_dinh_Vi_mo'!$C$17</f>
        <v>819.37041367999996</v>
      </c>
      <c r="T57" s="26">
        <f>'03_Gia_dinh_Vi_mo'!$F$40*E57</f>
        <v>466.35181029190494</v>
      </c>
      <c r="U57" s="26">
        <f t="shared" si="28"/>
        <v>2811.1298444280947</v>
      </c>
      <c r="V57" s="26">
        <f>IF(A57&lt;=60, '06_CAPEX_Dau_tu'!$G$32/60, 0)</f>
        <v>35.674629800000012</v>
      </c>
      <c r="W57" s="26">
        <f t="shared" si="29"/>
        <v>2775.4552146280948</v>
      </c>
      <c r="X57" s="26">
        <f>IF(W57&gt;0, W57*'03_Gia_dinh_Vi_mo'!$C$11, 0)</f>
        <v>555.09104292561904</v>
      </c>
      <c r="Y57" s="26">
        <f t="shared" si="30"/>
        <v>2220.3641717024757</v>
      </c>
      <c r="Z57" s="26">
        <f t="shared" si="31"/>
        <v>2256.0388015024755</v>
      </c>
      <c r="AA57" s="26">
        <f t="shared" si="32"/>
        <v>103511.02549030424</v>
      </c>
      <c r="AB57" s="26">
        <f t="shared" si="20"/>
        <v>1231.1829425405454</v>
      </c>
      <c r="AC57" s="26">
        <f>'03_Gia_dinh_Vi_mo'!$C$24*C57*D57</f>
        <v>5852.6458119999998</v>
      </c>
      <c r="AD57" s="26">
        <f>AC57*'03_Gia_dinh_Vi_mo'!$C$17</f>
        <v>1170.5291623999999</v>
      </c>
      <c r="AE57" s="26">
        <f>'03_Gia_dinh_Vi_mo'!$F$40*E57</f>
        <v>466.35181029190494</v>
      </c>
      <c r="AF57" s="26">
        <f t="shared" si="33"/>
        <v>4215.7648393080945</v>
      </c>
      <c r="AG57" s="26">
        <f>IF(A57&lt;=60, '06_CAPEX_Dau_tu'!$G$32/60, 0)</f>
        <v>35.674629800000012</v>
      </c>
      <c r="AH57" s="26">
        <f t="shared" si="34"/>
        <v>4180.0902095080946</v>
      </c>
      <c r="AI57" s="26">
        <f>IF(AH57&gt;0, AH57*'03_Gia_dinh_Vi_mo'!$C$11, 0)</f>
        <v>836.01804190161897</v>
      </c>
      <c r="AJ57" s="26">
        <f t="shared" si="35"/>
        <v>3344.0721676064759</v>
      </c>
      <c r="AK57" s="26">
        <f t="shared" si="36"/>
        <v>3379.7467974064757</v>
      </c>
      <c r="AL57" s="26">
        <f t="shared" si="37"/>
        <v>156132.25583552005</v>
      </c>
      <c r="AM57" s="26">
        <f t="shared" si="21"/>
        <v>1844.4215606139799</v>
      </c>
    </row>
    <row r="58" spans="1:39" ht="20.100000000000001" customHeight="1" x14ac:dyDescent="0.2">
      <c r="A58" s="9">
        <v>53</v>
      </c>
      <c r="B58" s="9">
        <f t="shared" si="22"/>
        <v>5</v>
      </c>
      <c r="C58" s="82">
        <f>'03_Gia_dinh_Vi_mo'!$G$44</f>
        <v>1</v>
      </c>
      <c r="D58" s="83">
        <f>(1+'03_Gia_dinh_Vi_mo'!$C$10)^(B58-1)</f>
        <v>1.1255088099999999</v>
      </c>
      <c r="E58" s="83">
        <f>(1+'03_Gia_dinh_Vi_mo'!$C$9)^(B58-1)</f>
        <v>1.3504392230560003</v>
      </c>
      <c r="F58" s="83">
        <f>1/(1+'03_Gia_dinh_Vi_mo'!$C$12)^(A58/12)</f>
        <v>0.53940860679955438</v>
      </c>
      <c r="G58" s="26">
        <f>'03_Gia_dinh_Vi_mo'!$C$22*C58*D58</f>
        <v>2341.0583247999998</v>
      </c>
      <c r="H58" s="26">
        <f>G58*'03_Gia_dinh_Vi_mo'!$C$17</f>
        <v>468.21166496000001</v>
      </c>
      <c r="I58" s="26">
        <f>'03_Gia_dinh_Vi_mo'!$F$40*E58</f>
        <v>466.35181029190494</v>
      </c>
      <c r="J58" s="26">
        <f t="shared" si="23"/>
        <v>1406.4948495480949</v>
      </c>
      <c r="K58" s="26">
        <f>IF(A58&lt;=60, '06_CAPEX_Dau_tu'!$G$32/60, 0)</f>
        <v>35.674629800000012</v>
      </c>
      <c r="L58" s="26">
        <f t="shared" si="24"/>
        <v>1370.8202197480948</v>
      </c>
      <c r="M58" s="26">
        <f>IF(L58&gt;0, L58*'03_Gia_dinh_Vi_mo'!$C$11, 0)</f>
        <v>274.16404394961899</v>
      </c>
      <c r="N58" s="26">
        <f t="shared" si="25"/>
        <v>1096.6561757984759</v>
      </c>
      <c r="O58" s="26">
        <f t="shared" si="26"/>
        <v>1132.3308055984758</v>
      </c>
      <c r="P58" s="26">
        <f t="shared" si="27"/>
        <v>52022.125950686612</v>
      </c>
      <c r="Q58" s="26">
        <f t="shared" si="19"/>
        <v>610.78898228409082</v>
      </c>
      <c r="R58" s="26">
        <f>'03_Gia_dinh_Vi_mo'!$C$23*C58*D58</f>
        <v>4096.8520683999996</v>
      </c>
      <c r="S58" s="26">
        <f>R58*'03_Gia_dinh_Vi_mo'!$C$17</f>
        <v>819.37041367999996</v>
      </c>
      <c r="T58" s="26">
        <f>'03_Gia_dinh_Vi_mo'!$F$40*E58</f>
        <v>466.35181029190494</v>
      </c>
      <c r="U58" s="26">
        <f t="shared" si="28"/>
        <v>2811.1298444280947</v>
      </c>
      <c r="V58" s="26">
        <f>IF(A58&lt;=60, '06_CAPEX_Dau_tu'!$G$32/60, 0)</f>
        <v>35.674629800000012</v>
      </c>
      <c r="W58" s="26">
        <f t="shared" si="29"/>
        <v>2775.4552146280948</v>
      </c>
      <c r="X58" s="26">
        <f>IF(W58&gt;0, W58*'03_Gia_dinh_Vi_mo'!$C$11, 0)</f>
        <v>555.09104292561904</v>
      </c>
      <c r="Y58" s="26">
        <f t="shared" si="30"/>
        <v>2220.3641717024757</v>
      </c>
      <c r="Z58" s="26">
        <f t="shared" si="31"/>
        <v>2256.0388015024755</v>
      </c>
      <c r="AA58" s="26">
        <f t="shared" si="32"/>
        <v>105767.06429180672</v>
      </c>
      <c r="AB58" s="26">
        <f t="shared" si="20"/>
        <v>1216.9267468041867</v>
      </c>
      <c r="AC58" s="26">
        <f>'03_Gia_dinh_Vi_mo'!$C$24*C58*D58</f>
        <v>5852.6458119999998</v>
      </c>
      <c r="AD58" s="26">
        <f>AC58*'03_Gia_dinh_Vi_mo'!$C$17</f>
        <v>1170.5291623999999</v>
      </c>
      <c r="AE58" s="26">
        <f>'03_Gia_dinh_Vi_mo'!$F$40*E58</f>
        <v>466.35181029190494</v>
      </c>
      <c r="AF58" s="26">
        <f t="shared" si="33"/>
        <v>4215.7648393080945</v>
      </c>
      <c r="AG58" s="26">
        <f>IF(A58&lt;=60, '06_CAPEX_Dau_tu'!$G$32/60, 0)</f>
        <v>35.674629800000012</v>
      </c>
      <c r="AH58" s="26">
        <f t="shared" si="34"/>
        <v>4180.0902095080946</v>
      </c>
      <c r="AI58" s="26">
        <f>IF(AH58&gt;0, AH58*'03_Gia_dinh_Vi_mo'!$C$11, 0)</f>
        <v>836.01804190161897</v>
      </c>
      <c r="AJ58" s="26">
        <f t="shared" si="35"/>
        <v>3344.0721676064759</v>
      </c>
      <c r="AK58" s="26">
        <f t="shared" si="36"/>
        <v>3379.7467974064757</v>
      </c>
      <c r="AL58" s="26">
        <f t="shared" si="37"/>
        <v>159512.00263292651</v>
      </c>
      <c r="AM58" s="26">
        <f t="shared" si="21"/>
        <v>1823.0645113242829</v>
      </c>
    </row>
    <row r="59" spans="1:39" ht="20.100000000000001" customHeight="1" x14ac:dyDescent="0.2">
      <c r="A59" s="9">
        <v>54</v>
      </c>
      <c r="B59" s="9">
        <f t="shared" si="22"/>
        <v>5</v>
      </c>
      <c r="C59" s="82">
        <f>'03_Gia_dinh_Vi_mo'!$G$44</f>
        <v>1</v>
      </c>
      <c r="D59" s="83">
        <f>(1+'03_Gia_dinh_Vi_mo'!$C$10)^(B59-1)</f>
        <v>1.1255088099999999</v>
      </c>
      <c r="E59" s="83">
        <f>(1+'03_Gia_dinh_Vi_mo'!$C$9)^(B59-1)</f>
        <v>1.3504392230560003</v>
      </c>
      <c r="F59" s="83">
        <f>1/(1+'03_Gia_dinh_Vi_mo'!$C$12)^(A59/12)</f>
        <v>0.53316265064250867</v>
      </c>
      <c r="G59" s="26">
        <f>'03_Gia_dinh_Vi_mo'!$C$22*C59*D59</f>
        <v>2341.0583247999998</v>
      </c>
      <c r="H59" s="26">
        <f>G59*'03_Gia_dinh_Vi_mo'!$C$17</f>
        <v>468.21166496000001</v>
      </c>
      <c r="I59" s="26">
        <f>'03_Gia_dinh_Vi_mo'!$F$40*E59</f>
        <v>466.35181029190494</v>
      </c>
      <c r="J59" s="26">
        <f t="shared" si="23"/>
        <v>1406.4948495480949</v>
      </c>
      <c r="K59" s="26">
        <f>IF(A59&lt;=60, '06_CAPEX_Dau_tu'!$G$32/60, 0)</f>
        <v>35.674629800000012</v>
      </c>
      <c r="L59" s="26">
        <f t="shared" si="24"/>
        <v>1370.8202197480948</v>
      </c>
      <c r="M59" s="26">
        <f>IF(L59&gt;0, L59*'03_Gia_dinh_Vi_mo'!$C$11, 0)</f>
        <v>274.16404394961899</v>
      </c>
      <c r="N59" s="26">
        <f t="shared" si="25"/>
        <v>1096.6561757984759</v>
      </c>
      <c r="O59" s="26">
        <f t="shared" si="26"/>
        <v>1132.3308055984758</v>
      </c>
      <c r="P59" s="26">
        <f t="shared" si="27"/>
        <v>53154.456756285086</v>
      </c>
      <c r="Q59" s="26">
        <f t="shared" si="19"/>
        <v>603.71649371705053</v>
      </c>
      <c r="R59" s="26">
        <f>'03_Gia_dinh_Vi_mo'!$C$23*C59*D59</f>
        <v>4096.8520683999996</v>
      </c>
      <c r="S59" s="26">
        <f>R59*'03_Gia_dinh_Vi_mo'!$C$17</f>
        <v>819.37041367999996</v>
      </c>
      <c r="T59" s="26">
        <f>'03_Gia_dinh_Vi_mo'!$F$40*E59</f>
        <v>466.35181029190494</v>
      </c>
      <c r="U59" s="26">
        <f t="shared" si="28"/>
        <v>2811.1298444280947</v>
      </c>
      <c r="V59" s="26">
        <f>IF(A59&lt;=60, '06_CAPEX_Dau_tu'!$G$32/60, 0)</f>
        <v>35.674629800000012</v>
      </c>
      <c r="W59" s="26">
        <f t="shared" si="29"/>
        <v>2775.4552146280948</v>
      </c>
      <c r="X59" s="26">
        <f>IF(W59&gt;0, W59*'03_Gia_dinh_Vi_mo'!$C$11, 0)</f>
        <v>555.09104292561904</v>
      </c>
      <c r="Y59" s="26">
        <f t="shared" si="30"/>
        <v>2220.3641717024757</v>
      </c>
      <c r="Z59" s="26">
        <f t="shared" si="31"/>
        <v>2256.0388015024755</v>
      </c>
      <c r="AA59" s="26">
        <f t="shared" si="32"/>
        <v>108023.1030933092</v>
      </c>
      <c r="AB59" s="26">
        <f t="shared" si="20"/>
        <v>1202.8356273614083</v>
      </c>
      <c r="AC59" s="26">
        <f>'03_Gia_dinh_Vi_mo'!$C$24*C59*D59</f>
        <v>5852.6458119999998</v>
      </c>
      <c r="AD59" s="26">
        <f>AC59*'03_Gia_dinh_Vi_mo'!$C$17</f>
        <v>1170.5291623999999</v>
      </c>
      <c r="AE59" s="26">
        <f>'03_Gia_dinh_Vi_mo'!$F$40*E59</f>
        <v>466.35181029190494</v>
      </c>
      <c r="AF59" s="26">
        <f t="shared" si="33"/>
        <v>4215.7648393080945</v>
      </c>
      <c r="AG59" s="26">
        <f>IF(A59&lt;=60, '06_CAPEX_Dau_tu'!$G$32/60, 0)</f>
        <v>35.674629800000012</v>
      </c>
      <c r="AH59" s="26">
        <f t="shared" si="34"/>
        <v>4180.0902095080946</v>
      </c>
      <c r="AI59" s="26">
        <f>IF(AH59&gt;0, AH59*'03_Gia_dinh_Vi_mo'!$C$11, 0)</f>
        <v>836.01804190161897</v>
      </c>
      <c r="AJ59" s="26">
        <f t="shared" si="35"/>
        <v>3344.0721676064759</v>
      </c>
      <c r="AK59" s="26">
        <f t="shared" si="36"/>
        <v>3379.7467974064757</v>
      </c>
      <c r="AL59" s="26">
        <f t="shared" si="37"/>
        <v>162891.74943033297</v>
      </c>
      <c r="AM59" s="26">
        <f t="shared" si="21"/>
        <v>1801.9547610057664</v>
      </c>
    </row>
    <row r="60" spans="1:39" ht="20.100000000000001" customHeight="1" x14ac:dyDescent="0.2">
      <c r="A60" s="9">
        <v>55</v>
      </c>
      <c r="B60" s="9">
        <f t="shared" si="22"/>
        <v>5</v>
      </c>
      <c r="C60" s="82">
        <f>'03_Gia_dinh_Vi_mo'!$G$44</f>
        <v>1</v>
      </c>
      <c r="D60" s="83">
        <f>(1+'03_Gia_dinh_Vi_mo'!$C$10)^(B60-1)</f>
        <v>1.1255088099999999</v>
      </c>
      <c r="E60" s="83">
        <f>(1+'03_Gia_dinh_Vi_mo'!$C$9)^(B60-1)</f>
        <v>1.3504392230560003</v>
      </c>
      <c r="F60" s="83">
        <f>1/(1+'03_Gia_dinh_Vi_mo'!$C$12)^(A60/12)</f>
        <v>0.52698901807804921</v>
      </c>
      <c r="G60" s="26">
        <f>'03_Gia_dinh_Vi_mo'!$C$22*C60*D60</f>
        <v>2341.0583247999998</v>
      </c>
      <c r="H60" s="26">
        <f>G60*'03_Gia_dinh_Vi_mo'!$C$17</f>
        <v>468.21166496000001</v>
      </c>
      <c r="I60" s="26">
        <f>'03_Gia_dinh_Vi_mo'!$F$40*E60</f>
        <v>466.35181029190494</v>
      </c>
      <c r="J60" s="26">
        <f t="shared" si="23"/>
        <v>1406.4948495480949</v>
      </c>
      <c r="K60" s="26">
        <f>IF(A60&lt;=60, '06_CAPEX_Dau_tu'!$G$32/60, 0)</f>
        <v>35.674629800000012</v>
      </c>
      <c r="L60" s="26">
        <f t="shared" si="24"/>
        <v>1370.8202197480948</v>
      </c>
      <c r="M60" s="26">
        <f>IF(L60&gt;0, L60*'03_Gia_dinh_Vi_mo'!$C$11, 0)</f>
        <v>274.16404394961899</v>
      </c>
      <c r="N60" s="26">
        <f t="shared" si="25"/>
        <v>1096.6561757984759</v>
      </c>
      <c r="O60" s="26">
        <f t="shared" si="26"/>
        <v>1132.3308055984758</v>
      </c>
      <c r="P60" s="26">
        <f t="shared" si="27"/>
        <v>54286.787561883561</v>
      </c>
      <c r="Q60" s="26">
        <f t="shared" si="19"/>
        <v>596.72589938186718</v>
      </c>
      <c r="R60" s="26">
        <f>'03_Gia_dinh_Vi_mo'!$C$23*C60*D60</f>
        <v>4096.8520683999996</v>
      </c>
      <c r="S60" s="26">
        <f>R60*'03_Gia_dinh_Vi_mo'!$C$17</f>
        <v>819.37041367999996</v>
      </c>
      <c r="T60" s="26">
        <f>'03_Gia_dinh_Vi_mo'!$F$40*E60</f>
        <v>466.35181029190494</v>
      </c>
      <c r="U60" s="26">
        <f t="shared" si="28"/>
        <v>2811.1298444280947</v>
      </c>
      <c r="V60" s="26">
        <f>IF(A60&lt;=60, '06_CAPEX_Dau_tu'!$G$32/60, 0)</f>
        <v>35.674629800000012</v>
      </c>
      <c r="W60" s="26">
        <f t="shared" si="29"/>
        <v>2775.4552146280948</v>
      </c>
      <c r="X60" s="26">
        <f>IF(W60&gt;0, W60*'03_Gia_dinh_Vi_mo'!$C$11, 0)</f>
        <v>555.09104292561904</v>
      </c>
      <c r="Y60" s="26">
        <f t="shared" si="30"/>
        <v>2220.3641717024757</v>
      </c>
      <c r="Z60" s="26">
        <f t="shared" si="31"/>
        <v>2256.0388015024755</v>
      </c>
      <c r="AA60" s="26">
        <f t="shared" si="32"/>
        <v>110279.14189481168</v>
      </c>
      <c r="AB60" s="26">
        <f t="shared" si="20"/>
        <v>1188.9076727497686</v>
      </c>
      <c r="AC60" s="26">
        <f>'03_Gia_dinh_Vi_mo'!$C$24*C60*D60</f>
        <v>5852.6458119999998</v>
      </c>
      <c r="AD60" s="26">
        <f>AC60*'03_Gia_dinh_Vi_mo'!$C$17</f>
        <v>1170.5291623999999</v>
      </c>
      <c r="AE60" s="26">
        <f>'03_Gia_dinh_Vi_mo'!$F$40*E60</f>
        <v>466.35181029190494</v>
      </c>
      <c r="AF60" s="26">
        <f t="shared" si="33"/>
        <v>4215.7648393080945</v>
      </c>
      <c r="AG60" s="26">
        <f>IF(A60&lt;=60, '06_CAPEX_Dau_tu'!$G$32/60, 0)</f>
        <v>35.674629800000012</v>
      </c>
      <c r="AH60" s="26">
        <f t="shared" si="34"/>
        <v>4180.0902095080946</v>
      </c>
      <c r="AI60" s="26">
        <f>IF(AH60&gt;0, AH60*'03_Gia_dinh_Vi_mo'!$C$11, 0)</f>
        <v>836.01804190161897</v>
      </c>
      <c r="AJ60" s="26">
        <f t="shared" si="35"/>
        <v>3344.0721676064759</v>
      </c>
      <c r="AK60" s="26">
        <f t="shared" si="36"/>
        <v>3379.7467974064757</v>
      </c>
      <c r="AL60" s="26">
        <f t="shared" si="37"/>
        <v>166271.49622773944</v>
      </c>
      <c r="AM60" s="26">
        <f t="shared" si="21"/>
        <v>1781.0894461176701</v>
      </c>
    </row>
    <row r="61" spans="1:39" ht="20.100000000000001" customHeight="1" x14ac:dyDescent="0.2">
      <c r="A61" s="9">
        <v>56</v>
      </c>
      <c r="B61" s="9">
        <f t="shared" si="22"/>
        <v>5</v>
      </c>
      <c r="C61" s="82">
        <f>'03_Gia_dinh_Vi_mo'!$G$44</f>
        <v>1</v>
      </c>
      <c r="D61" s="83">
        <f>(1+'03_Gia_dinh_Vi_mo'!$C$10)^(B61-1)</f>
        <v>1.1255088099999999</v>
      </c>
      <c r="E61" s="83">
        <f>(1+'03_Gia_dinh_Vi_mo'!$C$9)^(B61-1)</f>
        <v>1.3504392230560003</v>
      </c>
      <c r="F61" s="83">
        <f>1/(1+'03_Gia_dinh_Vi_mo'!$C$12)^(A61/12)</f>
        <v>0.52088687165200365</v>
      </c>
      <c r="G61" s="26">
        <f>'03_Gia_dinh_Vi_mo'!$C$22*C61*D61</f>
        <v>2341.0583247999998</v>
      </c>
      <c r="H61" s="26">
        <f>G61*'03_Gia_dinh_Vi_mo'!$C$17</f>
        <v>468.21166496000001</v>
      </c>
      <c r="I61" s="26">
        <f>'03_Gia_dinh_Vi_mo'!$F$40*E61</f>
        <v>466.35181029190494</v>
      </c>
      <c r="J61" s="26">
        <f t="shared" si="23"/>
        <v>1406.4948495480949</v>
      </c>
      <c r="K61" s="26">
        <f>IF(A61&lt;=60, '06_CAPEX_Dau_tu'!$G$32/60, 0)</f>
        <v>35.674629800000012</v>
      </c>
      <c r="L61" s="26">
        <f t="shared" si="24"/>
        <v>1370.8202197480948</v>
      </c>
      <c r="M61" s="26">
        <f>IF(L61&gt;0, L61*'03_Gia_dinh_Vi_mo'!$C$11, 0)</f>
        <v>274.16404394961899</v>
      </c>
      <c r="N61" s="26">
        <f t="shared" si="25"/>
        <v>1096.6561757984759</v>
      </c>
      <c r="O61" s="26">
        <f t="shared" si="26"/>
        <v>1132.3308055984758</v>
      </c>
      <c r="P61" s="26">
        <f t="shared" si="27"/>
        <v>55419.118367482035</v>
      </c>
      <c r="Q61" s="26">
        <f t="shared" si="19"/>
        <v>589.81625100338317</v>
      </c>
      <c r="R61" s="26">
        <f>'03_Gia_dinh_Vi_mo'!$C$23*C61*D61</f>
        <v>4096.8520683999996</v>
      </c>
      <c r="S61" s="26">
        <f>R61*'03_Gia_dinh_Vi_mo'!$C$17</f>
        <v>819.37041367999996</v>
      </c>
      <c r="T61" s="26">
        <f>'03_Gia_dinh_Vi_mo'!$F$40*E61</f>
        <v>466.35181029190494</v>
      </c>
      <c r="U61" s="26">
        <f t="shared" si="28"/>
        <v>2811.1298444280947</v>
      </c>
      <c r="V61" s="26">
        <f>IF(A61&lt;=60, '06_CAPEX_Dau_tu'!$G$32/60, 0)</f>
        <v>35.674629800000012</v>
      </c>
      <c r="W61" s="26">
        <f t="shared" si="29"/>
        <v>2775.4552146280948</v>
      </c>
      <c r="X61" s="26">
        <f>IF(W61&gt;0, W61*'03_Gia_dinh_Vi_mo'!$C$11, 0)</f>
        <v>555.09104292561904</v>
      </c>
      <c r="Y61" s="26">
        <f t="shared" si="30"/>
        <v>2220.3641717024757</v>
      </c>
      <c r="Z61" s="26">
        <f t="shared" si="31"/>
        <v>2256.0388015024755</v>
      </c>
      <c r="AA61" s="26">
        <f t="shared" si="32"/>
        <v>112535.18069631416</v>
      </c>
      <c r="AB61" s="26">
        <f t="shared" si="20"/>
        <v>1175.1409936401601</v>
      </c>
      <c r="AC61" s="26">
        <f>'03_Gia_dinh_Vi_mo'!$C$24*C61*D61</f>
        <v>5852.6458119999998</v>
      </c>
      <c r="AD61" s="26">
        <f>AC61*'03_Gia_dinh_Vi_mo'!$C$17</f>
        <v>1170.5291623999999</v>
      </c>
      <c r="AE61" s="26">
        <f>'03_Gia_dinh_Vi_mo'!$F$40*E61</f>
        <v>466.35181029190494</v>
      </c>
      <c r="AF61" s="26">
        <f t="shared" si="33"/>
        <v>4215.7648393080945</v>
      </c>
      <c r="AG61" s="26">
        <f>IF(A61&lt;=60, '06_CAPEX_Dau_tu'!$G$32/60, 0)</f>
        <v>35.674629800000012</v>
      </c>
      <c r="AH61" s="26">
        <f t="shared" si="34"/>
        <v>4180.0902095080946</v>
      </c>
      <c r="AI61" s="26">
        <f>IF(AH61&gt;0, AH61*'03_Gia_dinh_Vi_mo'!$C$11, 0)</f>
        <v>836.01804190161897</v>
      </c>
      <c r="AJ61" s="26">
        <f t="shared" si="35"/>
        <v>3344.0721676064759</v>
      </c>
      <c r="AK61" s="26">
        <f t="shared" si="36"/>
        <v>3379.7467974064757</v>
      </c>
      <c r="AL61" s="26">
        <f t="shared" si="37"/>
        <v>169651.2430251459</v>
      </c>
      <c r="AM61" s="26">
        <f t="shared" si="21"/>
        <v>1760.4657362769374</v>
      </c>
    </row>
    <row r="62" spans="1:39" ht="20.100000000000001" customHeight="1" x14ac:dyDescent="0.2">
      <c r="A62" s="9">
        <v>57</v>
      </c>
      <c r="B62" s="9">
        <f t="shared" si="22"/>
        <v>5</v>
      </c>
      <c r="C62" s="82">
        <f>'03_Gia_dinh_Vi_mo'!$G$44</f>
        <v>1</v>
      </c>
      <c r="D62" s="83">
        <f>(1+'03_Gia_dinh_Vi_mo'!$C$10)^(B62-1)</f>
        <v>1.1255088099999999</v>
      </c>
      <c r="E62" s="83">
        <f>(1+'03_Gia_dinh_Vi_mo'!$C$9)^(B62-1)</f>
        <v>1.3504392230560003</v>
      </c>
      <c r="F62" s="83">
        <f>1/(1+'03_Gia_dinh_Vi_mo'!$C$12)^(A62/12)</f>
        <v>0.51485538360730487</v>
      </c>
      <c r="G62" s="26">
        <f>'03_Gia_dinh_Vi_mo'!$C$22*C62*D62</f>
        <v>2341.0583247999998</v>
      </c>
      <c r="H62" s="26">
        <f>G62*'03_Gia_dinh_Vi_mo'!$C$17</f>
        <v>468.21166496000001</v>
      </c>
      <c r="I62" s="26">
        <f>'03_Gia_dinh_Vi_mo'!$F$40*E62</f>
        <v>466.35181029190494</v>
      </c>
      <c r="J62" s="26">
        <f t="shared" si="23"/>
        <v>1406.4948495480949</v>
      </c>
      <c r="K62" s="26">
        <f>IF(A62&lt;=60, '06_CAPEX_Dau_tu'!$G$32/60, 0)</f>
        <v>35.674629800000012</v>
      </c>
      <c r="L62" s="26">
        <f t="shared" si="24"/>
        <v>1370.8202197480948</v>
      </c>
      <c r="M62" s="26">
        <f>IF(L62&gt;0, L62*'03_Gia_dinh_Vi_mo'!$C$11, 0)</f>
        <v>274.16404394961899</v>
      </c>
      <c r="N62" s="26">
        <f t="shared" si="25"/>
        <v>1096.6561757984759</v>
      </c>
      <c r="O62" s="26">
        <f t="shared" si="26"/>
        <v>1132.3308055984758</v>
      </c>
      <c r="P62" s="26">
        <f t="shared" si="27"/>
        <v>56551.449173080509</v>
      </c>
      <c r="Q62" s="26">
        <f t="shared" si="19"/>
        <v>582.98661128677179</v>
      </c>
      <c r="R62" s="26">
        <f>'03_Gia_dinh_Vi_mo'!$C$23*C62*D62</f>
        <v>4096.8520683999996</v>
      </c>
      <c r="S62" s="26">
        <f>R62*'03_Gia_dinh_Vi_mo'!$C$17</f>
        <v>819.37041367999996</v>
      </c>
      <c r="T62" s="26">
        <f>'03_Gia_dinh_Vi_mo'!$F$40*E62</f>
        <v>466.35181029190494</v>
      </c>
      <c r="U62" s="26">
        <f t="shared" si="28"/>
        <v>2811.1298444280947</v>
      </c>
      <c r="V62" s="26">
        <f>IF(A62&lt;=60, '06_CAPEX_Dau_tu'!$G$32/60, 0)</f>
        <v>35.674629800000012</v>
      </c>
      <c r="W62" s="26">
        <f t="shared" si="29"/>
        <v>2775.4552146280948</v>
      </c>
      <c r="X62" s="26">
        <f>IF(W62&gt;0, W62*'03_Gia_dinh_Vi_mo'!$C$11, 0)</f>
        <v>555.09104292561904</v>
      </c>
      <c r="Y62" s="26">
        <f t="shared" si="30"/>
        <v>2220.3641717024757</v>
      </c>
      <c r="Z62" s="26">
        <f t="shared" si="31"/>
        <v>2256.0388015024755</v>
      </c>
      <c r="AA62" s="26">
        <f t="shared" si="32"/>
        <v>114791.21949781664</v>
      </c>
      <c r="AB62" s="26">
        <f t="shared" si="20"/>
        <v>1161.5337225805213</v>
      </c>
      <c r="AC62" s="26">
        <f>'03_Gia_dinh_Vi_mo'!$C$24*C62*D62</f>
        <v>5852.6458119999998</v>
      </c>
      <c r="AD62" s="26">
        <f>AC62*'03_Gia_dinh_Vi_mo'!$C$17</f>
        <v>1170.5291623999999</v>
      </c>
      <c r="AE62" s="26">
        <f>'03_Gia_dinh_Vi_mo'!$F$40*E62</f>
        <v>466.35181029190494</v>
      </c>
      <c r="AF62" s="26">
        <f t="shared" si="33"/>
        <v>4215.7648393080945</v>
      </c>
      <c r="AG62" s="26">
        <f>IF(A62&lt;=60, '06_CAPEX_Dau_tu'!$G$32/60, 0)</f>
        <v>35.674629800000012</v>
      </c>
      <c r="AH62" s="26">
        <f t="shared" si="34"/>
        <v>4180.0902095080946</v>
      </c>
      <c r="AI62" s="26">
        <f>IF(AH62&gt;0, AH62*'03_Gia_dinh_Vi_mo'!$C$11, 0)</f>
        <v>836.01804190161897</v>
      </c>
      <c r="AJ62" s="26">
        <f t="shared" si="35"/>
        <v>3344.0721676064759</v>
      </c>
      <c r="AK62" s="26">
        <f t="shared" si="36"/>
        <v>3379.7467974064757</v>
      </c>
      <c r="AL62" s="26">
        <f t="shared" si="37"/>
        <v>173030.98982255236</v>
      </c>
      <c r="AM62" s="26">
        <f t="shared" si="21"/>
        <v>1740.0808338742711</v>
      </c>
    </row>
    <row r="63" spans="1:39" ht="20.100000000000001" customHeight="1" x14ac:dyDescent="0.2">
      <c r="A63" s="9">
        <v>58</v>
      </c>
      <c r="B63" s="9">
        <f t="shared" si="22"/>
        <v>5</v>
      </c>
      <c r="C63" s="82">
        <f>'03_Gia_dinh_Vi_mo'!$G$44</f>
        <v>1</v>
      </c>
      <c r="D63" s="83">
        <f>(1+'03_Gia_dinh_Vi_mo'!$C$10)^(B63-1)</f>
        <v>1.1255088099999999</v>
      </c>
      <c r="E63" s="83">
        <f>(1+'03_Gia_dinh_Vi_mo'!$C$9)^(B63-1)</f>
        <v>1.3504392230560003</v>
      </c>
      <c r="F63" s="83">
        <f>1/(1+'03_Gia_dinh_Vi_mo'!$C$12)^(A63/12)</f>
        <v>0.5088937357717056</v>
      </c>
      <c r="G63" s="26">
        <f>'03_Gia_dinh_Vi_mo'!$C$22*C63*D63</f>
        <v>2341.0583247999998</v>
      </c>
      <c r="H63" s="26">
        <f>G63*'03_Gia_dinh_Vi_mo'!$C$17</f>
        <v>468.21166496000001</v>
      </c>
      <c r="I63" s="26">
        <f>'03_Gia_dinh_Vi_mo'!$F$40*E63</f>
        <v>466.35181029190494</v>
      </c>
      <c r="J63" s="26">
        <f t="shared" si="23"/>
        <v>1406.4948495480949</v>
      </c>
      <c r="K63" s="26">
        <f>IF(A63&lt;=60, '06_CAPEX_Dau_tu'!$G$32/60, 0)</f>
        <v>35.674629800000012</v>
      </c>
      <c r="L63" s="26">
        <f t="shared" si="24"/>
        <v>1370.8202197480948</v>
      </c>
      <c r="M63" s="26">
        <f>IF(L63&gt;0, L63*'03_Gia_dinh_Vi_mo'!$C$11, 0)</f>
        <v>274.16404394961899</v>
      </c>
      <c r="N63" s="26">
        <f t="shared" si="25"/>
        <v>1096.6561757984759</v>
      </c>
      <c r="O63" s="26">
        <f t="shared" si="26"/>
        <v>1132.3308055984758</v>
      </c>
      <c r="P63" s="26">
        <f t="shared" si="27"/>
        <v>57683.779978678984</v>
      </c>
      <c r="Q63" s="26">
        <f t="shared" si="19"/>
        <v>576.23605379039327</v>
      </c>
      <c r="R63" s="26">
        <f>'03_Gia_dinh_Vi_mo'!$C$23*C63*D63</f>
        <v>4096.8520683999996</v>
      </c>
      <c r="S63" s="26">
        <f>R63*'03_Gia_dinh_Vi_mo'!$C$17</f>
        <v>819.37041367999996</v>
      </c>
      <c r="T63" s="26">
        <f>'03_Gia_dinh_Vi_mo'!$F$40*E63</f>
        <v>466.35181029190494</v>
      </c>
      <c r="U63" s="26">
        <f t="shared" si="28"/>
        <v>2811.1298444280947</v>
      </c>
      <c r="V63" s="26">
        <f>IF(A63&lt;=60, '06_CAPEX_Dau_tu'!$G$32/60, 0)</f>
        <v>35.674629800000012</v>
      </c>
      <c r="W63" s="26">
        <f t="shared" si="29"/>
        <v>2775.4552146280948</v>
      </c>
      <c r="X63" s="26">
        <f>IF(W63&gt;0, W63*'03_Gia_dinh_Vi_mo'!$C$11, 0)</f>
        <v>555.09104292561904</v>
      </c>
      <c r="Y63" s="26">
        <f t="shared" si="30"/>
        <v>2220.3641717024757</v>
      </c>
      <c r="Z63" s="26">
        <f t="shared" si="31"/>
        <v>2256.0388015024755</v>
      </c>
      <c r="AA63" s="26">
        <f t="shared" si="32"/>
        <v>117047.25829931912</v>
      </c>
      <c r="AB63" s="26">
        <f t="shared" si="20"/>
        <v>1148.0840137425162</v>
      </c>
      <c r="AC63" s="26">
        <f>'03_Gia_dinh_Vi_mo'!$C$24*C63*D63</f>
        <v>5852.6458119999998</v>
      </c>
      <c r="AD63" s="26">
        <f>AC63*'03_Gia_dinh_Vi_mo'!$C$17</f>
        <v>1170.5291623999999</v>
      </c>
      <c r="AE63" s="26">
        <f>'03_Gia_dinh_Vi_mo'!$F$40*E63</f>
        <v>466.35181029190494</v>
      </c>
      <c r="AF63" s="26">
        <f t="shared" si="33"/>
        <v>4215.7648393080945</v>
      </c>
      <c r="AG63" s="26">
        <f>IF(A63&lt;=60, '06_CAPEX_Dau_tu'!$G$32/60, 0)</f>
        <v>35.674629800000012</v>
      </c>
      <c r="AH63" s="26">
        <f t="shared" si="34"/>
        <v>4180.0902095080946</v>
      </c>
      <c r="AI63" s="26">
        <f>IF(AH63&gt;0, AH63*'03_Gia_dinh_Vi_mo'!$C$11, 0)</f>
        <v>836.01804190161897</v>
      </c>
      <c r="AJ63" s="26">
        <f t="shared" si="35"/>
        <v>3344.0721676064759</v>
      </c>
      <c r="AK63" s="26">
        <f t="shared" si="36"/>
        <v>3379.7467974064757</v>
      </c>
      <c r="AL63" s="26">
        <f t="shared" si="37"/>
        <v>176410.73661995883</v>
      </c>
      <c r="AM63" s="26">
        <f t="shared" si="21"/>
        <v>1719.9319736946393</v>
      </c>
    </row>
    <row r="64" spans="1:39" ht="20.100000000000001" customHeight="1" x14ac:dyDescent="0.2">
      <c r="A64" s="9">
        <v>59</v>
      </c>
      <c r="B64" s="9">
        <f t="shared" si="22"/>
        <v>5</v>
      </c>
      <c r="C64" s="82">
        <f>'03_Gia_dinh_Vi_mo'!$G$44</f>
        <v>1</v>
      </c>
      <c r="D64" s="83">
        <f>(1+'03_Gia_dinh_Vi_mo'!$C$10)^(B64-1)</f>
        <v>1.1255088099999999</v>
      </c>
      <c r="E64" s="83">
        <f>(1+'03_Gia_dinh_Vi_mo'!$C$9)^(B64-1)</f>
        <v>1.3504392230560003</v>
      </c>
      <c r="F64" s="83">
        <f>1/(1+'03_Gia_dinh_Vi_mo'!$C$12)^(A64/12)</f>
        <v>0.50300111944679327</v>
      </c>
      <c r="G64" s="26">
        <f>'03_Gia_dinh_Vi_mo'!$C$22*C64*D64</f>
        <v>2341.0583247999998</v>
      </c>
      <c r="H64" s="26">
        <f>G64*'03_Gia_dinh_Vi_mo'!$C$17</f>
        <v>468.21166496000001</v>
      </c>
      <c r="I64" s="26">
        <f>'03_Gia_dinh_Vi_mo'!$F$40*E64</f>
        <v>466.35181029190494</v>
      </c>
      <c r="J64" s="26">
        <f t="shared" si="23"/>
        <v>1406.4948495480949</v>
      </c>
      <c r="K64" s="26">
        <f>IF(A64&lt;=60, '06_CAPEX_Dau_tu'!$G$32/60, 0)</f>
        <v>35.674629800000012</v>
      </c>
      <c r="L64" s="26">
        <f t="shared" si="24"/>
        <v>1370.8202197480948</v>
      </c>
      <c r="M64" s="26">
        <f>IF(L64&gt;0, L64*'03_Gia_dinh_Vi_mo'!$C$11, 0)</f>
        <v>274.16404394961899</v>
      </c>
      <c r="N64" s="26">
        <f t="shared" si="25"/>
        <v>1096.6561757984759</v>
      </c>
      <c r="O64" s="26">
        <f t="shared" si="26"/>
        <v>1132.3308055984758</v>
      </c>
      <c r="P64" s="26">
        <f t="shared" si="27"/>
        <v>58816.110784277458</v>
      </c>
      <c r="Q64" s="26">
        <f t="shared" si="19"/>
        <v>569.56366280012253</v>
      </c>
      <c r="R64" s="26">
        <f>'03_Gia_dinh_Vi_mo'!$C$23*C64*D64</f>
        <v>4096.8520683999996</v>
      </c>
      <c r="S64" s="26">
        <f>R64*'03_Gia_dinh_Vi_mo'!$C$17</f>
        <v>819.37041367999996</v>
      </c>
      <c r="T64" s="26">
        <f>'03_Gia_dinh_Vi_mo'!$F$40*E64</f>
        <v>466.35181029190494</v>
      </c>
      <c r="U64" s="26">
        <f t="shared" si="28"/>
        <v>2811.1298444280947</v>
      </c>
      <c r="V64" s="26">
        <f>IF(A64&lt;=60, '06_CAPEX_Dau_tu'!$G$32/60, 0)</f>
        <v>35.674629800000012</v>
      </c>
      <c r="W64" s="26">
        <f t="shared" si="29"/>
        <v>2775.4552146280948</v>
      </c>
      <c r="X64" s="26">
        <f>IF(W64&gt;0, W64*'03_Gia_dinh_Vi_mo'!$C$11, 0)</f>
        <v>555.09104292561904</v>
      </c>
      <c r="Y64" s="26">
        <f t="shared" si="30"/>
        <v>2220.3641717024757</v>
      </c>
      <c r="Z64" s="26">
        <f t="shared" si="31"/>
        <v>2256.0388015024755</v>
      </c>
      <c r="AA64" s="26">
        <f t="shared" si="32"/>
        <v>119303.2971008216</v>
      </c>
      <c r="AB64" s="26">
        <f t="shared" si="20"/>
        <v>1134.7900426711469</v>
      </c>
      <c r="AC64" s="26">
        <f>'03_Gia_dinh_Vi_mo'!$C$24*C64*D64</f>
        <v>5852.6458119999998</v>
      </c>
      <c r="AD64" s="26">
        <f>AC64*'03_Gia_dinh_Vi_mo'!$C$17</f>
        <v>1170.5291623999999</v>
      </c>
      <c r="AE64" s="26">
        <f>'03_Gia_dinh_Vi_mo'!$F$40*E64</f>
        <v>466.35181029190494</v>
      </c>
      <c r="AF64" s="26">
        <f t="shared" si="33"/>
        <v>4215.7648393080945</v>
      </c>
      <c r="AG64" s="26">
        <f>IF(A64&lt;=60, '06_CAPEX_Dau_tu'!$G$32/60, 0)</f>
        <v>35.674629800000012</v>
      </c>
      <c r="AH64" s="26">
        <f t="shared" si="34"/>
        <v>4180.0902095080946</v>
      </c>
      <c r="AI64" s="26">
        <f>IF(AH64&gt;0, AH64*'03_Gia_dinh_Vi_mo'!$C$11, 0)</f>
        <v>836.01804190161897</v>
      </c>
      <c r="AJ64" s="26">
        <f t="shared" si="35"/>
        <v>3344.0721676064759</v>
      </c>
      <c r="AK64" s="26">
        <f t="shared" si="36"/>
        <v>3379.7467974064757</v>
      </c>
      <c r="AL64" s="26">
        <f t="shared" si="37"/>
        <v>179790.48341736529</v>
      </c>
      <c r="AM64" s="26">
        <f t="shared" si="21"/>
        <v>1700.0164225421718</v>
      </c>
    </row>
    <row r="65" spans="1:39" ht="20.100000000000001" customHeight="1" x14ac:dyDescent="0.2">
      <c r="A65" s="9">
        <v>60</v>
      </c>
      <c r="B65" s="9">
        <f t="shared" si="22"/>
        <v>5</v>
      </c>
      <c r="C65" s="82">
        <f>'03_Gia_dinh_Vi_mo'!$G$44</f>
        <v>1</v>
      </c>
      <c r="D65" s="83">
        <f>(1+'03_Gia_dinh_Vi_mo'!$C$10)^(B65-1)</f>
        <v>1.1255088099999999</v>
      </c>
      <c r="E65" s="83">
        <f>(1+'03_Gia_dinh_Vi_mo'!$C$9)^(B65-1)</f>
        <v>1.3504392230560003</v>
      </c>
      <c r="F65" s="83">
        <f>1/(1+'03_Gia_dinh_Vi_mo'!$C$12)^(A65/12)</f>
        <v>0.49717673529828987</v>
      </c>
      <c r="G65" s="26">
        <f>'03_Gia_dinh_Vi_mo'!$C$22*C65*D65</f>
        <v>2341.0583247999998</v>
      </c>
      <c r="H65" s="26">
        <f>G65*'03_Gia_dinh_Vi_mo'!$C$17</f>
        <v>468.21166496000001</v>
      </c>
      <c r="I65" s="26">
        <f>'03_Gia_dinh_Vi_mo'!$F$40*E65</f>
        <v>466.35181029190494</v>
      </c>
      <c r="J65" s="26">
        <f t="shared" si="23"/>
        <v>1406.4948495480949</v>
      </c>
      <c r="K65" s="26">
        <f>IF(A65&lt;=60, '06_CAPEX_Dau_tu'!$G$32/60, 0)</f>
        <v>35.674629800000012</v>
      </c>
      <c r="L65" s="26">
        <f t="shared" si="24"/>
        <v>1370.8202197480948</v>
      </c>
      <c r="M65" s="26">
        <f>IF(L65&gt;0, L65*'03_Gia_dinh_Vi_mo'!$C$11, 0)</f>
        <v>274.16404394961899</v>
      </c>
      <c r="N65" s="26">
        <f t="shared" si="25"/>
        <v>1096.6561757984759</v>
      </c>
      <c r="O65" s="26">
        <f t="shared" si="26"/>
        <v>1132.3308055984758</v>
      </c>
      <c r="P65" s="26">
        <f t="shared" si="27"/>
        <v>59948.441589875933</v>
      </c>
      <c r="Q65" s="26">
        <f t="shared" si="19"/>
        <v>562.96853320513276</v>
      </c>
      <c r="R65" s="26">
        <f>'03_Gia_dinh_Vi_mo'!$C$23*C65*D65</f>
        <v>4096.8520683999996</v>
      </c>
      <c r="S65" s="26">
        <f>R65*'03_Gia_dinh_Vi_mo'!$C$17</f>
        <v>819.37041367999996</v>
      </c>
      <c r="T65" s="26">
        <f>'03_Gia_dinh_Vi_mo'!$F$40*E65</f>
        <v>466.35181029190494</v>
      </c>
      <c r="U65" s="26">
        <f t="shared" si="28"/>
        <v>2811.1298444280947</v>
      </c>
      <c r="V65" s="26">
        <f>IF(A65&lt;=60, '06_CAPEX_Dau_tu'!$G$32/60, 0)</f>
        <v>35.674629800000012</v>
      </c>
      <c r="W65" s="26">
        <f t="shared" si="29"/>
        <v>2775.4552146280948</v>
      </c>
      <c r="X65" s="26">
        <f>IF(W65&gt;0, W65*'03_Gia_dinh_Vi_mo'!$C$11, 0)</f>
        <v>555.09104292561904</v>
      </c>
      <c r="Y65" s="26">
        <f t="shared" si="30"/>
        <v>2220.3641717024757</v>
      </c>
      <c r="Z65" s="26">
        <f t="shared" si="31"/>
        <v>2256.0388015024755</v>
      </c>
      <c r="AA65" s="26">
        <f t="shared" si="32"/>
        <v>121559.33590232408</v>
      </c>
      <c r="AB65" s="26">
        <f t="shared" si="20"/>
        <v>1121.6500060372673</v>
      </c>
      <c r="AC65" s="26">
        <f>'03_Gia_dinh_Vi_mo'!$C$24*C65*D65</f>
        <v>5852.6458119999998</v>
      </c>
      <c r="AD65" s="26">
        <f>AC65*'03_Gia_dinh_Vi_mo'!$C$17</f>
        <v>1170.5291623999999</v>
      </c>
      <c r="AE65" s="26">
        <f>'03_Gia_dinh_Vi_mo'!$F$40*E65</f>
        <v>466.35181029190494</v>
      </c>
      <c r="AF65" s="26">
        <f t="shared" si="33"/>
        <v>4215.7648393080945</v>
      </c>
      <c r="AG65" s="26">
        <f>IF(A65&lt;=60, '06_CAPEX_Dau_tu'!$G$32/60, 0)</f>
        <v>35.674629800000012</v>
      </c>
      <c r="AH65" s="26">
        <f t="shared" si="34"/>
        <v>4180.0902095080946</v>
      </c>
      <c r="AI65" s="26">
        <f>IF(AH65&gt;0, AH65*'03_Gia_dinh_Vi_mo'!$C$11, 0)</f>
        <v>836.01804190161897</v>
      </c>
      <c r="AJ65" s="26">
        <f t="shared" si="35"/>
        <v>3344.0721676064759</v>
      </c>
      <c r="AK65" s="26">
        <f t="shared" si="36"/>
        <v>3379.7467974064757</v>
      </c>
      <c r="AL65" s="26">
        <f t="shared" si="37"/>
        <v>183170.23021477176</v>
      </c>
      <c r="AM65" s="26">
        <f t="shared" si="21"/>
        <v>1680.3314788694024</v>
      </c>
    </row>
    <row r="66" spans="1:39" ht="24" customHeight="1" x14ac:dyDescent="0.25">
      <c r="A66" s="122" t="s">
        <v>482</v>
      </c>
      <c r="B66" s="123"/>
      <c r="C66" s="123"/>
      <c r="D66" s="123"/>
      <c r="E66" s="123"/>
      <c r="F66" s="123"/>
      <c r="G66" s="63">
        <f t="shared" ref="G66:O66" si="38">SUM(G6:G65)</f>
        <v>128356.02981760007</v>
      </c>
      <c r="H66" s="63">
        <f t="shared" si="38"/>
        <v>25671.205963519991</v>
      </c>
      <c r="I66" s="63">
        <f t="shared" si="38"/>
        <v>24214.433918042061</v>
      </c>
      <c r="J66" s="63">
        <f t="shared" si="38"/>
        <v>78470.389936037885</v>
      </c>
      <c r="K66" s="63">
        <f t="shared" si="38"/>
        <v>2140.4777880000015</v>
      </c>
      <c r="L66" s="63">
        <f t="shared" si="38"/>
        <v>76329.912148037954</v>
      </c>
      <c r="M66" s="63">
        <f t="shared" si="38"/>
        <v>15265.982429607582</v>
      </c>
      <c r="N66" s="63">
        <f t="shared" si="38"/>
        <v>61063.929718430329</v>
      </c>
      <c r="O66" s="63">
        <f t="shared" si="38"/>
        <v>63204.407506430332</v>
      </c>
      <c r="P66" s="63">
        <f>P65</f>
        <v>59948.441589875933</v>
      </c>
      <c r="Q66" s="63">
        <f>SUM(Q5:Q65)</f>
        <v>41059.314179956273</v>
      </c>
      <c r="R66" s="63">
        <f t="shared" ref="R66:Z66" si="39">SUM(R6:R65)</f>
        <v>224623.05218080006</v>
      </c>
      <c r="S66" s="63">
        <f t="shared" si="39"/>
        <v>44924.610436160023</v>
      </c>
      <c r="T66" s="63">
        <f t="shared" si="39"/>
        <v>24214.433918042061</v>
      </c>
      <c r="U66" s="63">
        <f t="shared" si="39"/>
        <v>155484.00782659804</v>
      </c>
      <c r="V66" s="63">
        <f t="shared" si="39"/>
        <v>2140.4777880000015</v>
      </c>
      <c r="W66" s="63">
        <f t="shared" si="39"/>
        <v>153343.53003859791</v>
      </c>
      <c r="X66" s="63">
        <f t="shared" si="39"/>
        <v>30668.706007719575</v>
      </c>
      <c r="Y66" s="63">
        <f t="shared" si="39"/>
        <v>122674.8240308783</v>
      </c>
      <c r="Z66" s="63">
        <f t="shared" si="39"/>
        <v>124815.30181887848</v>
      </c>
      <c r="AA66" s="63">
        <f>AA65</f>
        <v>121559.33590232408</v>
      </c>
      <c r="AB66" s="63">
        <f>SUM(AB5:AB65)</f>
        <v>84244.262786540974</v>
      </c>
      <c r="AC66" s="63">
        <f t="shared" ref="AC66:AK66" si="40">SUM(AC6:AC65)</f>
        <v>320890.0745439998</v>
      </c>
      <c r="AD66" s="63">
        <f t="shared" si="40"/>
        <v>64178.014908800033</v>
      </c>
      <c r="AE66" s="63">
        <f t="shared" si="40"/>
        <v>24214.433918042061</v>
      </c>
      <c r="AF66" s="63">
        <f t="shared" si="40"/>
        <v>232497.6257171582</v>
      </c>
      <c r="AG66" s="63">
        <f t="shared" si="40"/>
        <v>2140.4777880000015</v>
      </c>
      <c r="AH66" s="63">
        <f t="shared" si="40"/>
        <v>230357.14792915771</v>
      </c>
      <c r="AI66" s="63">
        <f t="shared" si="40"/>
        <v>46071.429585831604</v>
      </c>
      <c r="AJ66" s="63">
        <f t="shared" si="40"/>
        <v>184285.71834332639</v>
      </c>
      <c r="AK66" s="63">
        <f t="shared" si="40"/>
        <v>186426.19613132614</v>
      </c>
      <c r="AL66" s="63">
        <f>AL65</f>
        <v>183170.23021477176</v>
      </c>
      <c r="AM66" s="63">
        <f>SUM(AM5:AM65)</f>
        <v>127429.21139312569</v>
      </c>
    </row>
    <row r="67" spans="1:39" ht="21.95" customHeight="1" x14ac:dyDescent="0.25">
      <c r="A67" s="119" t="s">
        <v>483</v>
      </c>
      <c r="B67" s="120"/>
      <c r="C67" s="120"/>
      <c r="D67" s="120"/>
      <c r="E67" s="120"/>
      <c r="F67" s="12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4">
        <f>Q66</f>
        <v>41059.314179956273</v>
      </c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4">
        <f>AB66</f>
        <v>84244.262786540974</v>
      </c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4">
        <f>AM66</f>
        <v>127429.21139312569</v>
      </c>
    </row>
    <row r="68" spans="1:39" ht="21.95" customHeight="1" x14ac:dyDescent="0.25">
      <c r="A68" s="119" t="s">
        <v>484</v>
      </c>
      <c r="B68" s="120"/>
      <c r="C68" s="120"/>
      <c r="D68" s="120"/>
      <c r="E68" s="120"/>
      <c r="F68" s="12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5">
        <f>(1+IRR(O5:O65))^12-1</f>
        <v>9.0079620209693072</v>
      </c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5">
        <f>(1+IRR(Z5:Z65))^12-1</f>
        <v>38.714093566652977</v>
      </c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5">
        <f>(1+IRR(AK5:AK65))^12-1</f>
        <v>117.0215164327157</v>
      </c>
    </row>
  </sheetData>
  <mergeCells count="9">
    <mergeCell ref="G3:Q3"/>
    <mergeCell ref="A1:AM1"/>
    <mergeCell ref="AC3:AM3"/>
    <mergeCell ref="A68:F68"/>
    <mergeCell ref="A3:F3"/>
    <mergeCell ref="A66:F66"/>
    <mergeCell ref="A67:F67"/>
    <mergeCell ref="A2:AM2"/>
    <mergeCell ref="R3:AB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topLeftCell="A23" workbookViewId="0">
      <selection sqref="A1:G1"/>
    </sheetView>
  </sheetViews>
  <sheetFormatPr defaultRowHeight="14.25" x14ac:dyDescent="0.2"/>
  <cols>
    <col min="1" max="1" width="38" customWidth="1"/>
    <col min="2" max="2" width="16" customWidth="1"/>
    <col min="3" max="7" width="22" customWidth="1"/>
  </cols>
  <sheetData>
    <row r="1" spans="1:7" ht="27.95" customHeight="1" x14ac:dyDescent="0.2">
      <c r="A1" s="98" t="s">
        <v>485</v>
      </c>
      <c r="B1" s="99"/>
      <c r="C1" s="99"/>
      <c r="D1" s="99"/>
      <c r="E1" s="99"/>
      <c r="F1" s="99"/>
      <c r="G1" s="99"/>
    </row>
    <row r="2" spans="1:7" ht="20.100000000000001" customHeight="1" x14ac:dyDescent="0.25">
      <c r="A2" s="101" t="s">
        <v>486</v>
      </c>
      <c r="B2" s="99"/>
      <c r="C2" s="99"/>
      <c r="D2" s="99"/>
      <c r="E2" s="99"/>
      <c r="F2" s="99"/>
      <c r="G2" s="99"/>
    </row>
    <row r="4" spans="1:7" ht="24" customHeight="1" x14ac:dyDescent="0.2">
      <c r="A4" s="100" t="s">
        <v>487</v>
      </c>
      <c r="B4" s="99"/>
      <c r="C4" s="99"/>
      <c r="D4" s="99"/>
      <c r="E4" s="99"/>
      <c r="F4" s="99"/>
      <c r="G4" s="99"/>
    </row>
    <row r="5" spans="1:7" ht="24" customHeight="1" x14ac:dyDescent="0.2">
      <c r="A5" s="10" t="s">
        <v>488</v>
      </c>
      <c r="B5" s="10" t="s">
        <v>387</v>
      </c>
      <c r="C5" s="10" t="s">
        <v>489</v>
      </c>
      <c r="D5" s="10" t="s">
        <v>490</v>
      </c>
      <c r="E5" s="10" t="s">
        <v>491</v>
      </c>
      <c r="F5" s="10" t="s">
        <v>492</v>
      </c>
      <c r="G5" s="10" t="s">
        <v>493</v>
      </c>
    </row>
    <row r="6" spans="1:7" ht="21.95" customHeight="1" x14ac:dyDescent="0.2">
      <c r="A6" s="1" t="s">
        <v>494</v>
      </c>
      <c r="B6" s="9" t="s">
        <v>495</v>
      </c>
      <c r="C6" s="50">
        <f>'03_Gia_dinh_Vi_mo'!$F$40/(1-'03_Gia_dinh_Vi_mo'!$C$17)</f>
        <v>431.66678878425</v>
      </c>
      <c r="D6" s="86" t="s">
        <v>496</v>
      </c>
      <c r="E6" s="26">
        <f>'03_Gia_dinh_Vi_mo'!$C$22</f>
        <v>2080</v>
      </c>
      <c r="F6" s="26">
        <f>'03_Gia_dinh_Vi_mo'!$C$23</f>
        <v>3640</v>
      </c>
      <c r="G6" s="26">
        <f>'03_Gia_dinh_Vi_mo'!$C$24</f>
        <v>5200</v>
      </c>
    </row>
    <row r="7" spans="1:7" ht="21.95" customHeight="1" x14ac:dyDescent="0.2">
      <c r="A7" s="1" t="s">
        <v>497</v>
      </c>
      <c r="B7" s="9" t="s">
        <v>498</v>
      </c>
      <c r="C7" s="50">
        <f>C6/'03_Gia_dinh_Vi_mo'!$C$18</f>
        <v>16.602568799394231</v>
      </c>
      <c r="D7" s="86"/>
      <c r="E7" s="26">
        <f>'03_Gia_dinh_Vi_mo'!$C$19</f>
        <v>80</v>
      </c>
      <c r="F7" s="26">
        <f>'03_Gia_dinh_Vi_mo'!$C$20</f>
        <v>140</v>
      </c>
      <c r="G7" s="26">
        <f>'03_Gia_dinh_Vi_mo'!$C$21</f>
        <v>200</v>
      </c>
    </row>
    <row r="8" spans="1:7" ht="21.95" customHeight="1" x14ac:dyDescent="0.2">
      <c r="A8" s="1" t="s">
        <v>499</v>
      </c>
      <c r="B8" s="9" t="s">
        <v>500</v>
      </c>
      <c r="C8" s="87">
        <f>C7/'03_Gia_dinh_Vi_mo'!$E$25</f>
        <v>2.6788921603278801</v>
      </c>
      <c r="D8" s="86"/>
      <c r="E8" s="30" t="s">
        <v>501</v>
      </c>
      <c r="F8" s="30" t="s">
        <v>502</v>
      </c>
      <c r="G8" s="30" t="s">
        <v>503</v>
      </c>
    </row>
    <row r="9" spans="1:7" ht="21.95" customHeight="1" x14ac:dyDescent="0.2">
      <c r="A9" s="1" t="s">
        <v>504</v>
      </c>
      <c r="B9" s="9" t="s">
        <v>505</v>
      </c>
      <c r="C9" s="87">
        <f>C8/3</f>
        <v>0.89296405344262675</v>
      </c>
      <c r="D9" s="86"/>
      <c r="E9" s="30" t="s">
        <v>506</v>
      </c>
      <c r="F9" s="30" t="s">
        <v>507</v>
      </c>
      <c r="G9" s="30" t="s">
        <v>508</v>
      </c>
    </row>
    <row r="10" spans="1:7" ht="21.95" customHeight="1" x14ac:dyDescent="0.2">
      <c r="A10" s="1" t="s">
        <v>509</v>
      </c>
      <c r="B10" s="9" t="s">
        <v>121</v>
      </c>
      <c r="C10" s="88" t="s">
        <v>510</v>
      </c>
      <c r="D10" s="86" t="e">
        <f>(DT mục tiêu - Hòa vốn)/DT</f>
        <v>#NAME?</v>
      </c>
      <c r="E10" s="88">
        <f>(E6-$C$6)/E6</f>
        <v>0.79246789000757212</v>
      </c>
      <c r="F10" s="88">
        <f>(F6-$C$6)/F6</f>
        <v>0.88141022286146975</v>
      </c>
      <c r="G10" s="88">
        <f>(G6-$C$6)/G6</f>
        <v>0.91698715600302871</v>
      </c>
    </row>
    <row r="11" spans="1:7" ht="21.95" customHeight="1" x14ac:dyDescent="0.2">
      <c r="A11" s="1" t="s">
        <v>511</v>
      </c>
      <c r="B11" s="9" t="s">
        <v>154</v>
      </c>
      <c r="C11" s="89" t="s">
        <v>510</v>
      </c>
      <c r="D11" s="86" t="s">
        <v>512</v>
      </c>
      <c r="E11" s="89" t="s">
        <v>151</v>
      </c>
      <c r="F11" s="89" t="s">
        <v>152</v>
      </c>
      <c r="G11" s="89" t="s">
        <v>153</v>
      </c>
    </row>
    <row r="13" spans="1:7" ht="24" customHeight="1" x14ac:dyDescent="0.2">
      <c r="A13" s="100" t="s">
        <v>513</v>
      </c>
      <c r="B13" s="99"/>
      <c r="C13" s="99"/>
      <c r="D13" s="99"/>
      <c r="E13" s="99"/>
      <c r="F13" s="99"/>
      <c r="G13" s="99"/>
    </row>
    <row r="14" spans="1:7" ht="21.95" customHeight="1" x14ac:dyDescent="0.2">
      <c r="A14" s="3" t="s">
        <v>514</v>
      </c>
      <c r="B14" s="3" t="s">
        <v>515</v>
      </c>
      <c r="C14" s="3" t="s">
        <v>516</v>
      </c>
      <c r="D14" s="3" t="s">
        <v>517</v>
      </c>
      <c r="E14" s="3" t="s">
        <v>518</v>
      </c>
      <c r="F14" s="3" t="s">
        <v>519</v>
      </c>
      <c r="G14" s="3" t="s">
        <v>520</v>
      </c>
    </row>
    <row r="15" spans="1:7" ht="20.100000000000001" customHeight="1" x14ac:dyDescent="0.2">
      <c r="A15" s="5" t="s">
        <v>521</v>
      </c>
      <c r="B15" s="64" t="s">
        <v>522</v>
      </c>
      <c r="C15" s="67">
        <f>'07_Dong_tien_60T'!O5</f>
        <v>-3255.9659165544003</v>
      </c>
      <c r="D15" s="67">
        <f>'07_Dong_tien_60T'!P5</f>
        <v>-3255.9659165544003</v>
      </c>
      <c r="E15" s="67">
        <f>'07_Dong_tien_60T'!Z5</f>
        <v>-3255.9659165544003</v>
      </c>
      <c r="F15" s="67">
        <f>'07_Dong_tien_60T'!AA5</f>
        <v>-3255.9659165544003</v>
      </c>
      <c r="G15" s="67">
        <f>'07_Dong_tien_60T'!AL5</f>
        <v>-3255.9659165544003</v>
      </c>
    </row>
    <row r="16" spans="1:7" ht="20.100000000000001" customHeight="1" x14ac:dyDescent="0.2">
      <c r="A16" s="69" t="s">
        <v>299</v>
      </c>
      <c r="B16" s="90">
        <f>'07_Dong_tien_60T'!C6</f>
        <v>0.3</v>
      </c>
      <c r="C16" s="71">
        <f>'07_Dong_tien_60T'!O6</f>
        <v>130.22818113807998</v>
      </c>
      <c r="D16" s="71">
        <f>'07_Dong_tien_60T'!P6</f>
        <v>-3125.7377354163204</v>
      </c>
      <c r="E16" s="71">
        <f>'07_Dong_tien_60T'!Z6</f>
        <v>429.74818113807999</v>
      </c>
      <c r="F16" s="71">
        <f>'07_Dong_tien_60T'!AA6</f>
        <v>-2826.2177354163205</v>
      </c>
      <c r="G16" s="71">
        <f>'07_Dong_tien_60T'!AL6</f>
        <v>-2526.6977354163205</v>
      </c>
    </row>
    <row r="17" spans="1:7" ht="20.100000000000001" customHeight="1" x14ac:dyDescent="0.2">
      <c r="A17" s="69" t="s">
        <v>300</v>
      </c>
      <c r="B17" s="90">
        <f>'07_Dong_tien_60T'!C7</f>
        <v>0.45</v>
      </c>
      <c r="C17" s="71">
        <f>'07_Dong_tien_60T'!O7</f>
        <v>329.90818113807995</v>
      </c>
      <c r="D17" s="71">
        <f>'07_Dong_tien_60T'!P7</f>
        <v>-2795.8295542782407</v>
      </c>
      <c r="E17" s="71">
        <f>'07_Dong_tien_60T'!Z7</f>
        <v>779.18818113808004</v>
      </c>
      <c r="F17" s="71">
        <f>'07_Dong_tien_60T'!AA7</f>
        <v>-2047.0295542782405</v>
      </c>
      <c r="G17" s="71">
        <f>'07_Dong_tien_60T'!AL7</f>
        <v>-1298.2295542782404</v>
      </c>
    </row>
    <row r="18" spans="1:7" ht="20.100000000000001" customHeight="1" x14ac:dyDescent="0.2">
      <c r="A18" s="69" t="s">
        <v>301</v>
      </c>
      <c r="B18" s="90">
        <f>'07_Dong_tien_60T'!C8</f>
        <v>0.6</v>
      </c>
      <c r="C18" s="71">
        <f>'07_Dong_tien_60T'!O8</f>
        <v>529.58818113808002</v>
      </c>
      <c r="D18" s="71">
        <f>'07_Dong_tien_60T'!P8</f>
        <v>-2266.2413731401607</v>
      </c>
      <c r="E18" s="71">
        <f>'07_Dong_tien_60T'!Z8</f>
        <v>1128.62818113808</v>
      </c>
      <c r="F18" s="71">
        <f>'07_Dong_tien_60T'!AA8</f>
        <v>-918.40137314016056</v>
      </c>
      <c r="G18" s="91">
        <f>'07_Dong_tien_60T'!AL8</f>
        <v>429.43862685983959</v>
      </c>
    </row>
    <row r="19" spans="1:7" ht="20.100000000000001" customHeight="1" x14ac:dyDescent="0.2">
      <c r="A19" s="69" t="s">
        <v>302</v>
      </c>
      <c r="B19" s="90">
        <f>'07_Dong_tien_60T'!C9</f>
        <v>0.75</v>
      </c>
      <c r="C19" s="71">
        <f>'07_Dong_tien_60T'!O9</f>
        <v>729.26818113807997</v>
      </c>
      <c r="D19" s="71">
        <f>'07_Dong_tien_60T'!P9</f>
        <v>-1536.9731920020809</v>
      </c>
      <c r="E19" s="71">
        <f>'07_Dong_tien_60T'!Z9</f>
        <v>1478.06818113808</v>
      </c>
      <c r="F19" s="91">
        <f>'07_Dong_tien_60T'!AA9</f>
        <v>559.66680799791948</v>
      </c>
      <c r="G19" s="71">
        <f>'07_Dong_tien_60T'!AL9</f>
        <v>2656.3068079979198</v>
      </c>
    </row>
    <row r="20" spans="1:7" ht="20.100000000000001" customHeight="1" x14ac:dyDescent="0.2">
      <c r="A20" s="69" t="s">
        <v>303</v>
      </c>
      <c r="B20" s="90">
        <f>'07_Dong_tien_60T'!C10</f>
        <v>0.9</v>
      </c>
      <c r="C20" s="71">
        <f>'07_Dong_tien_60T'!O10</f>
        <v>928.94818113808003</v>
      </c>
      <c r="D20" s="71">
        <f>'07_Dong_tien_60T'!P10</f>
        <v>-608.02501086400082</v>
      </c>
      <c r="E20" s="71">
        <f>'07_Dong_tien_60T'!Z10</f>
        <v>1827.5081811380801</v>
      </c>
      <c r="F20" s="71">
        <f>'07_Dong_tien_60T'!AA10</f>
        <v>2387.1749891359996</v>
      </c>
      <c r="G20" s="71">
        <f>'07_Dong_tien_60T'!AL10</f>
        <v>5382.3749891360003</v>
      </c>
    </row>
    <row r="21" spans="1:7" ht="20.100000000000001" customHeight="1" x14ac:dyDescent="0.2">
      <c r="A21" s="69" t="s">
        <v>523</v>
      </c>
      <c r="B21" s="90">
        <f>'07_Dong_tien_60T'!C11</f>
        <v>1</v>
      </c>
      <c r="C21" s="71">
        <f>'07_Dong_tien_60T'!O11</f>
        <v>1062.06818113808</v>
      </c>
      <c r="D21" s="91">
        <f>'07_Dong_tien_60T'!P11</f>
        <v>454.04317027407922</v>
      </c>
      <c r="E21" s="71">
        <f>'07_Dong_tien_60T'!Z11</f>
        <v>2060.4681811380801</v>
      </c>
      <c r="F21" s="71">
        <f>'07_Dong_tien_60T'!AA11</f>
        <v>4447.6431702740792</v>
      </c>
      <c r="G21" s="71">
        <f>'07_Dong_tien_60T'!AL11</f>
        <v>8441.2431702740796</v>
      </c>
    </row>
    <row r="22" spans="1:7" ht="20.100000000000001" customHeight="1" x14ac:dyDescent="0.2">
      <c r="A22" s="69" t="s">
        <v>524</v>
      </c>
      <c r="B22" s="90">
        <f>'07_Dong_tien_60T'!C12</f>
        <v>1</v>
      </c>
      <c r="C22" s="71">
        <f>'07_Dong_tien_60T'!O12</f>
        <v>1062.06818113808</v>
      </c>
      <c r="D22" s="71">
        <f>'07_Dong_tien_60T'!P12</f>
        <v>1516.1113514121594</v>
      </c>
      <c r="E22" s="71">
        <f>'07_Dong_tien_60T'!Z12</f>
        <v>2060.4681811380801</v>
      </c>
      <c r="F22" s="71">
        <f>'07_Dong_tien_60T'!AA12</f>
        <v>6508.1113514121589</v>
      </c>
      <c r="G22" s="71">
        <f>'07_Dong_tien_60T'!AL12</f>
        <v>11500.111351412161</v>
      </c>
    </row>
    <row r="23" spans="1:7" ht="20.100000000000001" customHeight="1" x14ac:dyDescent="0.2">
      <c r="A23" s="69" t="s">
        <v>525</v>
      </c>
      <c r="B23" s="90">
        <f>'07_Dong_tien_60T'!C13</f>
        <v>1</v>
      </c>
      <c r="C23" s="71">
        <f>'07_Dong_tien_60T'!O13</f>
        <v>1062.06818113808</v>
      </c>
      <c r="D23" s="71">
        <f>'07_Dong_tien_60T'!P13</f>
        <v>2578.1795325502394</v>
      </c>
      <c r="E23" s="71">
        <f>'07_Dong_tien_60T'!Z13</f>
        <v>2060.4681811380801</v>
      </c>
      <c r="F23" s="71">
        <f>'07_Dong_tien_60T'!AA13</f>
        <v>8568.5795325502386</v>
      </c>
      <c r="G23" s="71">
        <f>'07_Dong_tien_60T'!AL13</f>
        <v>14558.979532550242</v>
      </c>
    </row>
    <row r="24" spans="1:7" ht="20.100000000000001" customHeight="1" x14ac:dyDescent="0.2">
      <c r="A24" s="69" t="s">
        <v>526</v>
      </c>
      <c r="B24" s="90">
        <f>'07_Dong_tien_60T'!C14</f>
        <v>1</v>
      </c>
      <c r="C24" s="71">
        <f>'07_Dong_tien_60T'!O14</f>
        <v>1062.06818113808</v>
      </c>
      <c r="D24" s="71">
        <f>'07_Dong_tien_60T'!P14</f>
        <v>3640.2477136883194</v>
      </c>
      <c r="E24" s="71">
        <f>'07_Dong_tien_60T'!Z14</f>
        <v>2060.4681811380801</v>
      </c>
      <c r="F24" s="71">
        <f>'07_Dong_tien_60T'!AA14</f>
        <v>10629.047713688318</v>
      </c>
      <c r="G24" s="71">
        <f>'07_Dong_tien_60T'!AL14</f>
        <v>17617.847713688323</v>
      </c>
    </row>
    <row r="25" spans="1:7" ht="20.100000000000001" customHeight="1" x14ac:dyDescent="0.2">
      <c r="A25" s="69" t="s">
        <v>527</v>
      </c>
      <c r="B25" s="90">
        <f>'07_Dong_tien_60T'!C15</f>
        <v>1</v>
      </c>
      <c r="C25" s="71">
        <f>'07_Dong_tien_60T'!O15</f>
        <v>1062.06818113808</v>
      </c>
      <c r="D25" s="71">
        <f>'07_Dong_tien_60T'!P15</f>
        <v>4702.315894826399</v>
      </c>
      <c r="E25" s="71">
        <f>'07_Dong_tien_60T'!Z15</f>
        <v>2060.4681811380801</v>
      </c>
      <c r="F25" s="71">
        <f>'07_Dong_tien_60T'!AA15</f>
        <v>12689.515894826398</v>
      </c>
      <c r="G25" s="71">
        <f>'07_Dong_tien_60T'!AL15</f>
        <v>20676.715894826404</v>
      </c>
    </row>
    <row r="26" spans="1:7" ht="20.100000000000001" customHeight="1" x14ac:dyDescent="0.2">
      <c r="A26" s="69" t="s">
        <v>528</v>
      </c>
      <c r="B26" s="90">
        <f>'07_Dong_tien_60T'!C16</f>
        <v>1</v>
      </c>
      <c r="C26" s="71">
        <f>'07_Dong_tien_60T'!O16</f>
        <v>1062.06818113808</v>
      </c>
      <c r="D26" s="71">
        <f>'07_Dong_tien_60T'!P16</f>
        <v>5764.3840759644791</v>
      </c>
      <c r="E26" s="71">
        <f>'07_Dong_tien_60T'!Z16</f>
        <v>2060.4681811380801</v>
      </c>
      <c r="F26" s="71">
        <f>'07_Dong_tien_60T'!AA16</f>
        <v>14749.984075964478</v>
      </c>
      <c r="G26" s="71">
        <f>'07_Dong_tien_60T'!AL16</f>
        <v>23735.584075964485</v>
      </c>
    </row>
    <row r="27" spans="1:7" ht="20.100000000000001" customHeight="1" x14ac:dyDescent="0.2">
      <c r="A27" s="69" t="s">
        <v>529</v>
      </c>
      <c r="B27" s="90">
        <f>'07_Dong_tien_60T'!C17</f>
        <v>1</v>
      </c>
      <c r="C27" s="71">
        <f>'07_Dong_tien_60T'!O17</f>
        <v>1062.06818113808</v>
      </c>
      <c r="D27" s="71">
        <f>'07_Dong_tien_60T'!P17</f>
        <v>6826.4522571025591</v>
      </c>
      <c r="E27" s="71">
        <f>'07_Dong_tien_60T'!Z17</f>
        <v>2060.4681811380801</v>
      </c>
      <c r="F27" s="71">
        <f>'07_Dong_tien_60T'!AA17</f>
        <v>16810.452257102559</v>
      </c>
      <c r="G27" s="71">
        <f>'07_Dong_tien_60T'!AL17</f>
        <v>26794.452257102566</v>
      </c>
    </row>
  </sheetData>
  <mergeCells count="4">
    <mergeCell ref="A13:G13"/>
    <mergeCell ref="A2:G2"/>
    <mergeCell ref="A1:G1"/>
    <mergeCell ref="A4:G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8"/>
  <sheetViews>
    <sheetView topLeftCell="A10" workbookViewId="0">
      <selection sqref="A1:G1"/>
    </sheetView>
  </sheetViews>
  <sheetFormatPr defaultRowHeight="14.25" x14ac:dyDescent="0.2"/>
  <cols>
    <col min="1" max="1" width="34" customWidth="1"/>
    <col min="2" max="2" width="22" customWidth="1"/>
    <col min="3" max="7" width="24" customWidth="1"/>
  </cols>
  <sheetData>
    <row r="1" spans="1:7" ht="27.95" customHeight="1" x14ac:dyDescent="0.2">
      <c r="A1" s="98" t="s">
        <v>530</v>
      </c>
      <c r="B1" s="99"/>
      <c r="C1" s="99"/>
      <c r="D1" s="99"/>
      <c r="E1" s="99"/>
      <c r="F1" s="99"/>
      <c r="G1" s="99"/>
    </row>
    <row r="2" spans="1:7" ht="20.100000000000001" customHeight="1" x14ac:dyDescent="0.25">
      <c r="A2" s="101" t="s">
        <v>531</v>
      </c>
      <c r="B2" s="99"/>
      <c r="C2" s="99"/>
      <c r="D2" s="99"/>
      <c r="E2" s="99"/>
      <c r="F2" s="99"/>
      <c r="G2" s="99"/>
    </row>
    <row r="4" spans="1:7" ht="24" customHeight="1" x14ac:dyDescent="0.2">
      <c r="A4" s="100" t="s">
        <v>532</v>
      </c>
      <c r="B4" s="99"/>
      <c r="C4" s="99"/>
      <c r="D4" s="99"/>
      <c r="E4" s="99"/>
      <c r="F4" s="99"/>
      <c r="G4" s="99"/>
    </row>
    <row r="5" spans="1:7" ht="21.95" customHeight="1" x14ac:dyDescent="0.2">
      <c r="A5" s="79" t="s">
        <v>533</v>
      </c>
      <c r="B5" s="10" t="s">
        <v>534</v>
      </c>
      <c r="C5" s="10" t="s">
        <v>535</v>
      </c>
      <c r="D5" s="10" t="s">
        <v>536</v>
      </c>
      <c r="E5" s="10" t="s">
        <v>537</v>
      </c>
      <c r="F5" s="10" t="s">
        <v>538</v>
      </c>
    </row>
    <row r="6" spans="1:7" ht="21.95" customHeight="1" x14ac:dyDescent="0.2">
      <c r="A6" s="1" t="s">
        <v>539</v>
      </c>
      <c r="B6" s="26">
        <f>(80*'03_Gia_dinh_Vi_mo'!$C$18)*(1-'03_Gia_dinh_Vi_mo'!$C$17)-('03_Gia_dinh_Vi_mo'!$F$40*(1+-0.1))</f>
        <v>1353.1999120753399</v>
      </c>
      <c r="C6" s="26">
        <f>(80*'03_Gia_dinh_Vi_mo'!$C$18)*(1-'03_Gia_dinh_Vi_mo'!$C$17)-('03_Gia_dinh_Vi_mo'!$F$40*(1+0))</f>
        <v>1318.6665689726001</v>
      </c>
      <c r="D6" s="26">
        <f>(80*'03_Gia_dinh_Vi_mo'!$C$18)*(1-'03_Gia_dinh_Vi_mo'!$C$17)-('03_Gia_dinh_Vi_mo'!$F$40*(1+0.1))</f>
        <v>1284.1332258698599</v>
      </c>
      <c r="E6" s="26">
        <f>(80*'03_Gia_dinh_Vi_mo'!$C$18)*(1-'03_Gia_dinh_Vi_mo'!$C$17)-('03_Gia_dinh_Vi_mo'!$F$40*(1+0.2))</f>
        <v>1249.5998827671201</v>
      </c>
      <c r="F6" s="26">
        <f>(80*'03_Gia_dinh_Vi_mo'!$C$18)*(1-'03_Gia_dinh_Vi_mo'!$C$17)-('03_Gia_dinh_Vi_mo'!$F$40*(1+0.3))</f>
        <v>1215.0665396643799</v>
      </c>
    </row>
    <row r="7" spans="1:7" ht="21.95" customHeight="1" x14ac:dyDescent="0.2">
      <c r="A7" s="1" t="s">
        <v>540</v>
      </c>
      <c r="B7" s="26">
        <f>(100*'03_Gia_dinh_Vi_mo'!$C$18)*(1-'03_Gia_dinh_Vi_mo'!$C$17)-('03_Gia_dinh_Vi_mo'!$F$40*(1+-0.1))</f>
        <v>1769.1999120753399</v>
      </c>
      <c r="C7" s="26">
        <f>(100*'03_Gia_dinh_Vi_mo'!$C$18)*(1-'03_Gia_dinh_Vi_mo'!$C$17)-('03_Gia_dinh_Vi_mo'!$F$40*(1+0))</f>
        <v>1734.6665689726001</v>
      </c>
      <c r="D7" s="26">
        <f>(100*'03_Gia_dinh_Vi_mo'!$C$18)*(1-'03_Gia_dinh_Vi_mo'!$C$17)-('03_Gia_dinh_Vi_mo'!$F$40*(1+0.1))</f>
        <v>1700.1332258698599</v>
      </c>
      <c r="E7" s="26">
        <f>(100*'03_Gia_dinh_Vi_mo'!$C$18)*(1-'03_Gia_dinh_Vi_mo'!$C$17)-('03_Gia_dinh_Vi_mo'!$F$40*(1+0.2))</f>
        <v>1665.5998827671201</v>
      </c>
      <c r="F7" s="26">
        <f>(100*'03_Gia_dinh_Vi_mo'!$C$18)*(1-'03_Gia_dinh_Vi_mo'!$C$17)-('03_Gia_dinh_Vi_mo'!$F$40*(1+0.3))</f>
        <v>1631.0665396643799</v>
      </c>
    </row>
    <row r="8" spans="1:7" ht="21.95" customHeight="1" x14ac:dyDescent="0.2">
      <c r="A8" s="1" t="s">
        <v>541</v>
      </c>
      <c r="B8" s="26">
        <f>(140*'03_Gia_dinh_Vi_mo'!$C$18)*(1-'03_Gia_dinh_Vi_mo'!$C$17)-('03_Gia_dinh_Vi_mo'!$F$40*(1+-0.1))</f>
        <v>2601.1999120753399</v>
      </c>
      <c r="C8" s="92">
        <f>(140*'03_Gia_dinh_Vi_mo'!$C$18)*(1-'03_Gia_dinh_Vi_mo'!$C$17)-('03_Gia_dinh_Vi_mo'!$F$40*(1+0))</f>
        <v>2566.6665689726001</v>
      </c>
      <c r="D8" s="26">
        <f>(140*'03_Gia_dinh_Vi_mo'!$C$18)*(1-'03_Gia_dinh_Vi_mo'!$C$17)-('03_Gia_dinh_Vi_mo'!$F$40*(1+0.1))</f>
        <v>2532.1332258698599</v>
      </c>
      <c r="E8" s="26">
        <f>(140*'03_Gia_dinh_Vi_mo'!$C$18)*(1-'03_Gia_dinh_Vi_mo'!$C$17)-('03_Gia_dinh_Vi_mo'!$F$40*(1+0.2))</f>
        <v>2497.5998827671201</v>
      </c>
      <c r="F8" s="26">
        <f>(140*'03_Gia_dinh_Vi_mo'!$C$18)*(1-'03_Gia_dinh_Vi_mo'!$C$17)-('03_Gia_dinh_Vi_mo'!$F$40*(1+0.3))</f>
        <v>2463.0665396643799</v>
      </c>
    </row>
    <row r="9" spans="1:7" ht="21.95" customHeight="1" x14ac:dyDescent="0.2">
      <c r="A9" s="1" t="s">
        <v>542</v>
      </c>
      <c r="B9" s="26">
        <f>(170*'03_Gia_dinh_Vi_mo'!$C$18)*(1-'03_Gia_dinh_Vi_mo'!$C$17)-('03_Gia_dinh_Vi_mo'!$F$40*(1+-0.1))</f>
        <v>3225.1999120753399</v>
      </c>
      <c r="C9" s="26">
        <f>(170*'03_Gia_dinh_Vi_mo'!$C$18)*(1-'03_Gia_dinh_Vi_mo'!$C$17)-('03_Gia_dinh_Vi_mo'!$F$40*(1+0))</f>
        <v>3190.6665689726001</v>
      </c>
      <c r="D9" s="26">
        <f>(170*'03_Gia_dinh_Vi_mo'!$C$18)*(1-'03_Gia_dinh_Vi_mo'!$C$17)-('03_Gia_dinh_Vi_mo'!$F$40*(1+0.1))</f>
        <v>3156.1332258698599</v>
      </c>
      <c r="E9" s="26">
        <f>(170*'03_Gia_dinh_Vi_mo'!$C$18)*(1-'03_Gia_dinh_Vi_mo'!$C$17)-('03_Gia_dinh_Vi_mo'!$F$40*(1+0.2))</f>
        <v>3121.5998827671201</v>
      </c>
      <c r="F9" s="26">
        <f>(170*'03_Gia_dinh_Vi_mo'!$C$18)*(1-'03_Gia_dinh_Vi_mo'!$C$17)-('03_Gia_dinh_Vi_mo'!$F$40*(1+0.3))</f>
        <v>3087.0665396643799</v>
      </c>
    </row>
    <row r="10" spans="1:7" ht="21.95" customHeight="1" x14ac:dyDescent="0.2">
      <c r="A10" s="1" t="s">
        <v>543</v>
      </c>
      <c r="B10" s="26">
        <f>(200*'03_Gia_dinh_Vi_mo'!$C$18)*(1-'03_Gia_dinh_Vi_mo'!$C$17)-('03_Gia_dinh_Vi_mo'!$F$40*(1+-0.1))</f>
        <v>3849.1999120753399</v>
      </c>
      <c r="C10" s="26">
        <f>(200*'03_Gia_dinh_Vi_mo'!$C$18)*(1-'03_Gia_dinh_Vi_mo'!$C$17)-('03_Gia_dinh_Vi_mo'!$F$40*(1+0))</f>
        <v>3814.6665689726001</v>
      </c>
      <c r="D10" s="26">
        <f>(200*'03_Gia_dinh_Vi_mo'!$C$18)*(1-'03_Gia_dinh_Vi_mo'!$C$17)-('03_Gia_dinh_Vi_mo'!$F$40*(1+0.1))</f>
        <v>3780.1332258698599</v>
      </c>
      <c r="E10" s="26">
        <f>(200*'03_Gia_dinh_Vi_mo'!$C$18)*(1-'03_Gia_dinh_Vi_mo'!$C$17)-('03_Gia_dinh_Vi_mo'!$F$40*(1+0.2))</f>
        <v>3745.5998827671201</v>
      </c>
      <c r="F10" s="26">
        <f>(200*'03_Gia_dinh_Vi_mo'!$C$18)*(1-'03_Gia_dinh_Vi_mo'!$C$17)-('03_Gia_dinh_Vi_mo'!$F$40*(1+0.3))</f>
        <v>3711.0665396643799</v>
      </c>
    </row>
    <row r="13" spans="1:7" ht="24" customHeight="1" x14ac:dyDescent="0.2">
      <c r="A13" s="100" t="s">
        <v>544</v>
      </c>
      <c r="B13" s="99"/>
      <c r="C13" s="99"/>
      <c r="D13" s="99"/>
      <c r="E13" s="99"/>
      <c r="F13" s="99"/>
      <c r="G13" s="99"/>
    </row>
    <row r="14" spans="1:7" ht="21.95" customHeight="1" x14ac:dyDescent="0.2">
      <c r="A14" s="79" t="s">
        <v>545</v>
      </c>
      <c r="B14" s="10" t="s">
        <v>546</v>
      </c>
      <c r="C14" s="10" t="s">
        <v>547</v>
      </c>
      <c r="D14" s="10" t="s">
        <v>548</v>
      </c>
      <c r="E14" s="10" t="s">
        <v>549</v>
      </c>
    </row>
    <row r="15" spans="1:7" ht="21.95" customHeight="1" x14ac:dyDescent="0.2">
      <c r="A15" s="1" t="s">
        <v>550</v>
      </c>
      <c r="B15" s="26">
        <f>(10887.3*24000 + 55000000*(24000/20000))/1000000</f>
        <v>327.29520000000002</v>
      </c>
      <c r="C15" s="26">
        <f>(10887.3*24000 + 55000000*(24000/22402.5))/1000000</f>
        <v>320.21719531302307</v>
      </c>
      <c r="D15" s="26">
        <f>(10887.3*24000 + 55000000*(24000/24000))/1000000</f>
        <v>316.29520000000002</v>
      </c>
      <c r="E15" s="26">
        <f>(10887.3*24000 + 55000000*(24000/26000))/1000000</f>
        <v>312.06443076923074</v>
      </c>
    </row>
    <row r="16" spans="1:7" ht="21.95" customHeight="1" x14ac:dyDescent="0.2">
      <c r="A16" s="1" t="s">
        <v>551</v>
      </c>
      <c r="B16" s="26">
        <f>(10887.3*25000 + 55000000*(25000/20000))/1000000</f>
        <v>340.9325</v>
      </c>
      <c r="C16" s="26">
        <f>(10887.3*25000 + 55000000*(25000/22402.5))/1000000</f>
        <v>333.5595784510657</v>
      </c>
      <c r="D16" s="26">
        <f>(10887.3*25000 + 55000000*(25000/24000))/1000000</f>
        <v>329.47416666666669</v>
      </c>
      <c r="E16" s="26">
        <f>(10887.3*25000 + 55000000*(25000/26000))/1000000</f>
        <v>325.06711538461536</v>
      </c>
    </row>
    <row r="17" spans="1:5" ht="21.95" customHeight="1" x14ac:dyDescent="0.2">
      <c r="A17" s="1" t="s">
        <v>552</v>
      </c>
      <c r="B17" s="26">
        <f>(10887.3*25882.44 + 55000000*(25882.44/20000))/1000000</f>
        <v>352.96659901199996</v>
      </c>
      <c r="C17" s="93">
        <f>(10887.3*25882.44 + 55000000*(25882.44/22402.5))/1000000</f>
        <v>345.33343102740002</v>
      </c>
      <c r="D17" s="26">
        <f>(10887.3*25882.44 + 55000000*(25882.44/24000))/1000000</f>
        <v>341.10381401199999</v>
      </c>
      <c r="E17" s="26">
        <f>(10887.3*25882.44 + 55000000*(25882.44/26000))/1000000</f>
        <v>336.54120439661534</v>
      </c>
    </row>
    <row r="18" spans="1:5" ht="21.95" customHeight="1" x14ac:dyDescent="0.2">
      <c r="A18" s="1" t="s">
        <v>553</v>
      </c>
      <c r="B18" s="26">
        <f>(10887.3*27000 + 55000000*(27000/20000))/1000000</f>
        <v>368.20710000000003</v>
      </c>
      <c r="C18" s="26">
        <f>(10887.3*27000 + 55000000*(27000/22402.5))/1000000</f>
        <v>360.24434472715097</v>
      </c>
      <c r="D18" s="26">
        <f>(10887.3*27000 + 55000000*(27000/24000))/1000000</f>
        <v>355.83210000000003</v>
      </c>
      <c r="E18" s="26">
        <f>(10887.3*27000 + 55000000*(27000/26000))/1000000</f>
        <v>351.07248461538461</v>
      </c>
    </row>
  </sheetData>
  <mergeCells count="4">
    <mergeCell ref="A13:G13"/>
    <mergeCell ref="A2:G2"/>
    <mergeCell ref="A1:G1"/>
    <mergeCell ref="A4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tabSelected="1" workbookViewId="0">
      <selection sqref="A1:G1"/>
    </sheetView>
  </sheetViews>
  <sheetFormatPr defaultRowHeight="14.25" x14ac:dyDescent="0.2"/>
  <cols>
    <col min="1" max="1" width="34" customWidth="1"/>
    <col min="2" max="2" width="20" customWidth="1"/>
    <col min="3" max="3" width="18" customWidth="1"/>
    <col min="4" max="6" width="22" customWidth="1"/>
    <col min="7" max="7" width="44" customWidth="1"/>
  </cols>
  <sheetData>
    <row r="1" spans="1:7" ht="27.95" customHeight="1" x14ac:dyDescent="0.2">
      <c r="A1" s="98" t="s">
        <v>554</v>
      </c>
      <c r="B1" s="99"/>
      <c r="C1" s="99"/>
      <c r="D1" s="99"/>
      <c r="E1" s="99"/>
      <c r="F1" s="99"/>
      <c r="G1" s="99"/>
    </row>
    <row r="2" spans="1:7" ht="20.100000000000001" customHeight="1" x14ac:dyDescent="0.25">
      <c r="A2" s="101" t="s">
        <v>555</v>
      </c>
      <c r="B2" s="99"/>
      <c r="C2" s="99"/>
      <c r="D2" s="99"/>
      <c r="E2" s="99"/>
      <c r="F2" s="99"/>
      <c r="G2" s="99"/>
    </row>
    <row r="4" spans="1:7" ht="24" customHeight="1" x14ac:dyDescent="0.2">
      <c r="A4" s="100" t="s">
        <v>556</v>
      </c>
      <c r="B4" s="99"/>
      <c r="C4" s="99"/>
      <c r="D4" s="99"/>
      <c r="E4" s="99"/>
      <c r="F4" s="99"/>
      <c r="G4" s="99"/>
    </row>
    <row r="5" spans="1:7" ht="24" customHeight="1" x14ac:dyDescent="0.2">
      <c r="A5" s="10" t="s">
        <v>557</v>
      </c>
      <c r="B5" s="10" t="s">
        <v>558</v>
      </c>
      <c r="C5" s="10" t="s">
        <v>182</v>
      </c>
      <c r="D5" s="10" t="s">
        <v>559</v>
      </c>
      <c r="E5" s="10" t="s">
        <v>560</v>
      </c>
      <c r="F5" s="10" t="s">
        <v>561</v>
      </c>
    </row>
    <row r="6" spans="1:7" ht="21.95" customHeight="1" x14ac:dyDescent="0.2">
      <c r="A6" s="1" t="s">
        <v>562</v>
      </c>
      <c r="B6" s="60">
        <v>720000</v>
      </c>
      <c r="C6" s="9" t="s">
        <v>384</v>
      </c>
      <c r="D6" s="9" t="s">
        <v>563</v>
      </c>
      <c r="E6" s="60">
        <v>72000</v>
      </c>
      <c r="F6" s="27" t="s">
        <v>564</v>
      </c>
    </row>
    <row r="7" spans="1:7" ht="21.95" customHeight="1" x14ac:dyDescent="0.2">
      <c r="A7" s="1" t="s">
        <v>565</v>
      </c>
      <c r="B7" s="60">
        <v>125000</v>
      </c>
      <c r="C7" s="9" t="s">
        <v>384</v>
      </c>
      <c r="D7" s="9" t="s">
        <v>566</v>
      </c>
      <c r="E7" s="60">
        <v>31250</v>
      </c>
      <c r="F7" s="27" t="s">
        <v>567</v>
      </c>
    </row>
    <row r="8" spans="1:7" ht="21.95" customHeight="1" x14ac:dyDescent="0.2">
      <c r="A8" s="1" t="s">
        <v>568</v>
      </c>
      <c r="B8" s="60">
        <v>18000</v>
      </c>
      <c r="C8" s="9" t="s">
        <v>384</v>
      </c>
      <c r="D8" s="9" t="s">
        <v>569</v>
      </c>
      <c r="E8" s="60">
        <v>14400</v>
      </c>
      <c r="F8" s="27" t="s">
        <v>570</v>
      </c>
    </row>
    <row r="9" spans="1:7" ht="21.95" customHeight="1" x14ac:dyDescent="0.2">
      <c r="A9" s="1" t="s">
        <v>571</v>
      </c>
      <c r="B9" s="60">
        <v>5000</v>
      </c>
      <c r="C9" s="9" t="s">
        <v>572</v>
      </c>
      <c r="D9" s="9" t="s">
        <v>573</v>
      </c>
      <c r="E9" s="60">
        <v>2500</v>
      </c>
      <c r="F9" s="27" t="s">
        <v>574</v>
      </c>
    </row>
    <row r="10" spans="1:7" ht="21.95" customHeight="1" x14ac:dyDescent="0.2">
      <c r="A10" s="20" t="s">
        <v>575</v>
      </c>
      <c r="B10" s="94">
        <v>148000</v>
      </c>
      <c r="C10" s="24" t="s">
        <v>384</v>
      </c>
      <c r="D10" s="24" t="s">
        <v>510</v>
      </c>
      <c r="E10" s="94">
        <v>50650</v>
      </c>
      <c r="F10" s="25" t="s">
        <v>576</v>
      </c>
    </row>
    <row r="12" spans="1:7" ht="24" customHeight="1" x14ac:dyDescent="0.2">
      <c r="A12" s="100" t="s">
        <v>577</v>
      </c>
      <c r="B12" s="99"/>
      <c r="C12" s="99"/>
      <c r="D12" s="99"/>
      <c r="E12" s="99"/>
      <c r="F12" s="99"/>
      <c r="G12" s="99"/>
    </row>
    <row r="13" spans="1:7" ht="24" customHeight="1" x14ac:dyDescent="0.2">
      <c r="A13" s="3" t="s">
        <v>578</v>
      </c>
      <c r="B13" s="3" t="s">
        <v>579</v>
      </c>
      <c r="C13" s="3" t="s">
        <v>580</v>
      </c>
      <c r="D13" s="3" t="s">
        <v>581</v>
      </c>
      <c r="E13" s="3" t="s">
        <v>582</v>
      </c>
      <c r="F13" s="3" t="s">
        <v>583</v>
      </c>
      <c r="G13" s="3" t="s">
        <v>584</v>
      </c>
    </row>
    <row r="14" spans="1:7" ht="21.95" customHeight="1" x14ac:dyDescent="0.2">
      <c r="A14" s="1" t="s">
        <v>585</v>
      </c>
      <c r="B14" s="40" t="s">
        <v>586</v>
      </c>
      <c r="C14" s="40" t="s">
        <v>587</v>
      </c>
      <c r="D14" s="40" t="s">
        <v>588</v>
      </c>
      <c r="E14" s="40" t="s">
        <v>589</v>
      </c>
      <c r="F14" s="95">
        <f>4025/E10</f>
        <v>7.946692991115499E-2</v>
      </c>
      <c r="G14" s="86" t="s">
        <v>590</v>
      </c>
    </row>
    <row r="15" spans="1:7" ht="21.95" customHeight="1" x14ac:dyDescent="0.2">
      <c r="A15" s="1" t="s">
        <v>591</v>
      </c>
      <c r="B15" s="40" t="s">
        <v>592</v>
      </c>
      <c r="C15" s="40" t="s">
        <v>593</v>
      </c>
      <c r="D15" s="40" t="s">
        <v>594</v>
      </c>
      <c r="E15" s="40" t="s">
        <v>595</v>
      </c>
      <c r="F15" s="95">
        <f>7051/E10</f>
        <v>0.13921026653504442</v>
      </c>
      <c r="G15" s="86" t="s">
        <v>596</v>
      </c>
    </row>
    <row r="16" spans="1:7" ht="21.95" customHeight="1" x14ac:dyDescent="0.2">
      <c r="A16" s="1" t="s">
        <v>597</v>
      </c>
      <c r="B16" s="40" t="s">
        <v>598</v>
      </c>
      <c r="C16" s="40" t="s">
        <v>599</v>
      </c>
      <c r="D16" s="40" t="s">
        <v>600</v>
      </c>
      <c r="E16" s="40" t="s">
        <v>601</v>
      </c>
      <c r="F16" s="95">
        <f>10078/E10</f>
        <v>0.19897334649555776</v>
      </c>
      <c r="G16" s="86" t="s">
        <v>602</v>
      </c>
    </row>
  </sheetData>
  <mergeCells count="4">
    <mergeCell ref="A2:G2"/>
    <mergeCell ref="A1:G1"/>
    <mergeCell ref="A12:G12"/>
    <mergeCell ref="A4:G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topLeftCell="A8" workbookViewId="0">
      <selection sqref="A1:F1"/>
    </sheetView>
  </sheetViews>
  <sheetFormatPr defaultRowHeight="14.25" x14ac:dyDescent="0.2"/>
  <cols>
    <col min="1" max="1" width="6" customWidth="1"/>
    <col min="2" max="2" width="32" customWidth="1"/>
    <col min="3" max="3" width="46" customWidth="1"/>
    <col min="4" max="4" width="24" customWidth="1"/>
    <col min="5" max="5" width="20" customWidth="1"/>
    <col min="6" max="6" width="44" customWidth="1"/>
  </cols>
  <sheetData>
    <row r="1" spans="1:6" ht="27.95" customHeight="1" x14ac:dyDescent="0.2">
      <c r="A1" s="98" t="s">
        <v>603</v>
      </c>
      <c r="B1" s="99"/>
      <c r="C1" s="99"/>
      <c r="D1" s="99"/>
      <c r="E1" s="99"/>
      <c r="F1" s="99"/>
    </row>
    <row r="2" spans="1:6" ht="20.100000000000001" customHeight="1" x14ac:dyDescent="0.25">
      <c r="A2" s="101" t="s">
        <v>604</v>
      </c>
      <c r="B2" s="99"/>
      <c r="C2" s="99"/>
      <c r="D2" s="99"/>
      <c r="E2" s="99"/>
      <c r="F2" s="99"/>
    </row>
    <row r="4" spans="1:6" ht="24" customHeight="1" x14ac:dyDescent="0.2">
      <c r="A4" s="100" t="s">
        <v>605</v>
      </c>
      <c r="B4" s="99"/>
      <c r="C4" s="99"/>
      <c r="D4" s="99"/>
      <c r="E4" s="99"/>
      <c r="F4" s="99"/>
    </row>
    <row r="5" spans="1:6" ht="24" customHeight="1" x14ac:dyDescent="0.2">
      <c r="A5" s="10" t="s">
        <v>309</v>
      </c>
      <c r="B5" s="10" t="s">
        <v>606</v>
      </c>
      <c r="C5" s="10" t="s">
        <v>607</v>
      </c>
      <c r="D5" s="10" t="s">
        <v>608</v>
      </c>
      <c r="E5" s="10" t="s">
        <v>609</v>
      </c>
      <c r="F5" s="10" t="s">
        <v>610</v>
      </c>
    </row>
    <row r="6" spans="1:6" ht="21.95" customHeight="1" x14ac:dyDescent="0.2">
      <c r="A6" s="8">
        <v>1</v>
      </c>
      <c r="B6" s="1" t="s">
        <v>611</v>
      </c>
      <c r="C6" s="86" t="s">
        <v>612</v>
      </c>
      <c r="D6" s="8" t="s">
        <v>613</v>
      </c>
      <c r="E6" s="74" t="s">
        <v>614</v>
      </c>
      <c r="F6" s="27" t="s">
        <v>615</v>
      </c>
    </row>
    <row r="7" spans="1:6" ht="21.95" customHeight="1" x14ac:dyDescent="0.2">
      <c r="A7" s="8">
        <v>2</v>
      </c>
      <c r="B7" s="1" t="s">
        <v>616</v>
      </c>
      <c r="C7" s="86" t="s">
        <v>617</v>
      </c>
      <c r="D7" s="8" t="s">
        <v>618</v>
      </c>
      <c r="E7" s="74" t="s">
        <v>614</v>
      </c>
      <c r="F7" s="27" t="s">
        <v>619</v>
      </c>
    </row>
    <row r="8" spans="1:6" ht="21.95" customHeight="1" x14ac:dyDescent="0.2">
      <c r="A8" s="8">
        <v>3</v>
      </c>
      <c r="B8" s="1" t="s">
        <v>620</v>
      </c>
      <c r="C8" s="86" t="s">
        <v>621</v>
      </c>
      <c r="D8" s="8" t="s">
        <v>622</v>
      </c>
      <c r="E8" s="74" t="s">
        <v>623</v>
      </c>
      <c r="F8" s="27" t="s">
        <v>624</v>
      </c>
    </row>
    <row r="9" spans="1:6" ht="21.95" customHeight="1" x14ac:dyDescent="0.2">
      <c r="A9" s="8">
        <v>4</v>
      </c>
      <c r="B9" s="1" t="s">
        <v>625</v>
      </c>
      <c r="C9" s="86" t="s">
        <v>626</v>
      </c>
      <c r="D9" s="8" t="s">
        <v>627</v>
      </c>
      <c r="E9" s="74" t="s">
        <v>628</v>
      </c>
      <c r="F9" s="27" t="s">
        <v>629</v>
      </c>
    </row>
    <row r="10" spans="1:6" ht="21.95" customHeight="1" x14ac:dyDescent="0.2">
      <c r="A10" s="8">
        <v>5</v>
      </c>
      <c r="B10" s="1" t="s">
        <v>630</v>
      </c>
      <c r="C10" s="86" t="s">
        <v>631</v>
      </c>
      <c r="D10" s="8" t="s">
        <v>632</v>
      </c>
      <c r="E10" s="74" t="s">
        <v>628</v>
      </c>
      <c r="F10" s="27" t="s">
        <v>633</v>
      </c>
    </row>
    <row r="11" spans="1:6" ht="21.95" customHeight="1" x14ac:dyDescent="0.2">
      <c r="A11" s="8">
        <v>6</v>
      </c>
      <c r="B11" s="1" t="s">
        <v>634</v>
      </c>
      <c r="C11" s="86" t="s">
        <v>635</v>
      </c>
      <c r="D11" s="8" t="s">
        <v>636</v>
      </c>
      <c r="E11" s="74" t="s">
        <v>628</v>
      </c>
      <c r="F11" s="27" t="s">
        <v>637</v>
      </c>
    </row>
    <row r="12" spans="1:6" ht="21.95" customHeight="1" x14ac:dyDescent="0.2">
      <c r="A12" s="8">
        <v>7</v>
      </c>
      <c r="B12" s="1" t="s">
        <v>638</v>
      </c>
      <c r="C12" s="86" t="s">
        <v>639</v>
      </c>
      <c r="D12" s="8" t="s">
        <v>640</v>
      </c>
      <c r="E12" s="74" t="s">
        <v>641</v>
      </c>
      <c r="F12" s="27" t="s">
        <v>642</v>
      </c>
    </row>
    <row r="13" spans="1:6" ht="21.95" customHeight="1" x14ac:dyDescent="0.2">
      <c r="A13" s="8">
        <v>8</v>
      </c>
      <c r="B13" s="1" t="s">
        <v>643</v>
      </c>
      <c r="C13" s="86" t="s">
        <v>644</v>
      </c>
      <c r="D13" s="8" t="s">
        <v>645</v>
      </c>
      <c r="E13" s="74" t="s">
        <v>646</v>
      </c>
      <c r="F13" s="27" t="s">
        <v>647</v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01_Doc_truoc</vt:lpstr>
      <vt:lpstr>02_Executive_Dashboard</vt:lpstr>
      <vt:lpstr>03_Gia_dinh_Vi_mo</vt:lpstr>
      <vt:lpstr>04_Co_cau_Doanh_thu</vt:lpstr>
      <vt:lpstr>05_Chi_phi_Van_hanh</vt:lpstr>
      <vt:lpstr>06_CAPEX_Dau_tu</vt:lpstr>
      <vt:lpstr>07_Dong_tien_60T</vt:lpstr>
      <vt:lpstr>08_Phan_tich_Hoan_von</vt:lpstr>
      <vt:lpstr>09_Phan_tich_Do_nhay</vt:lpstr>
      <vt:lpstr>10_Kiem_tra_Dung_luong</vt:lpstr>
      <vt:lpstr>11_Nguon_Tai_lieu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Thang Langg</cp:lastModifiedBy>
  <dcterms:created xsi:type="dcterms:W3CDTF">2026-10-13T08:46:36Z</dcterms:created>
  <dcterms:modified xsi:type="dcterms:W3CDTF">2026-10-13T09:29:29Z</dcterms:modified>
</cp:coreProperties>
</file>