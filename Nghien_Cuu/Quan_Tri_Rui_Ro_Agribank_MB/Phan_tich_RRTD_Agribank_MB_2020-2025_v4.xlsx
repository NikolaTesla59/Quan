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500" firstSheet="2" activeTab="3" autoFilterDateGrouping="1"/>
  </bookViews>
  <sheets>
    <sheet xmlns:r="http://schemas.openxmlformats.org/officeDocument/2006/relationships" name="Kiem_chung" sheetId="1" state="visible" r:id="rId1"/>
    <sheet xmlns:r="http://schemas.openxmlformats.org/officeDocument/2006/relationships" name="Theo_doi" sheetId="2" state="visible" r:id="rId2"/>
    <sheet xmlns:r="http://schemas.openxmlformats.org/officeDocument/2006/relationships" name="Du_lieu" sheetId="3" state="visible" r:id="rId3"/>
    <sheet xmlns:r="http://schemas.openxmlformats.org/officeDocument/2006/relationships" name="Chi_tieu" sheetId="4" state="visible" r:id="rId4"/>
    <sheet xmlns:r="http://schemas.openxmlformats.org/officeDocument/2006/relationships" name="Nguon" sheetId="5" state="visible" r:id="rId5"/>
    <sheet xmlns:r="http://schemas.openxmlformats.org/officeDocument/2006/relationships" name="Stress_Testing" sheetId="6" state="visible" r:id="rId6"/>
    <sheet xmlns:r="http://schemas.openxmlformats.org/officeDocument/2006/relationships" name="IFRS9_Simulation" sheetId="7" state="visible" r:id="rId7"/>
    <sheet xmlns:r="http://schemas.openxmlformats.org/officeDocument/2006/relationships" name="BCTC_Agribank_Goc" sheetId="8" state="visible" r:id="rId8"/>
    <sheet xmlns:r="http://schemas.openxmlformats.org/officeDocument/2006/relationships" name="BCTC_MB_Goc" sheetId="9" state="visible" r:id="rId9"/>
  </sheets>
  <definedNames/>
  <calcPr calcId="191029" fullCalcOnLoad="1" iterateDelta="0.0001"/>
</workbook>
</file>

<file path=xl/styles.xml><?xml version="1.0" encoding="utf-8"?>
<styleSheet xmlns="http://schemas.openxmlformats.org/spreadsheetml/2006/main">
  <numFmts count="6">
    <numFmt numFmtId="164" formatCode="0.0%"/>
    <numFmt numFmtId="165" formatCode="\+0.0%;\-0.0%;0.0%"/>
    <numFmt numFmtId="166" formatCode="\+0.00%;\-0.00%;0.00%"/>
    <numFmt numFmtId="167" formatCode="\+#,##0;\-#,##0;0"/>
    <numFmt numFmtId="168" formatCode="#,##0.000"/>
    <numFmt numFmtId="169" formatCode="0.000%"/>
  </numFmts>
  <fonts count="37">
    <font>
      <name val="Calibri"/>
      <charset val="1"/>
      <family val="2"/>
      <color theme="1"/>
      <sz val="11"/>
    </font>
    <font>
      <name val="Cambria"/>
      <charset val="1"/>
      <b val="1"/>
      <sz val="14"/>
    </font>
    <font>
      <name val="Cambria"/>
      <charset val="1"/>
      <b val="1"/>
      <color rgb="FFFFFFFF"/>
      <sz val="11"/>
    </font>
    <font>
      <name val="Cambria"/>
      <charset val="1"/>
      <b val="1"/>
      <sz val="11"/>
    </font>
    <font>
      <name val="Arial"/>
      <charset val="1"/>
      <b val="1"/>
      <sz val="12"/>
    </font>
    <font>
      <name val="Arial"/>
      <charset val="1"/>
      <i val="1"/>
      <sz val="9"/>
    </font>
    <font>
      <name val="Arial"/>
      <charset val="1"/>
      <b val="1"/>
      <color rgb="FFFFFFFF"/>
      <sz val="10"/>
    </font>
    <font>
      <name val="Arial"/>
      <charset val="1"/>
      <sz val="10"/>
    </font>
    <font>
      <name val="Arial"/>
      <charset val="1"/>
      <color rgb="FF000000"/>
      <sz val="10"/>
    </font>
    <font>
      <name val="Arial"/>
      <charset val="1"/>
      <b val="1"/>
      <sz val="10"/>
    </font>
    <font>
      <name val="Arial"/>
      <charset val="1"/>
      <color rgb="FF0000FF"/>
      <sz val="10"/>
    </font>
    <font>
      <name val="Arial"/>
      <charset val="1"/>
      <b val="1"/>
      <sz val="11"/>
    </font>
    <font>
      <name val="Calibri"/>
      <b val="1"/>
      <color rgb="FF1B365D"/>
      <sz val="14"/>
    </font>
    <font>
      <name val="Calibri"/>
      <i val="1"/>
      <color rgb="FF555555"/>
      <sz val="10"/>
    </font>
    <font>
      <name val="Calibri"/>
      <b val="1"/>
      <color rgb="FFFFFFFF"/>
      <sz val="11"/>
    </font>
    <font>
      <name val="Calibri"/>
      <b val="1"/>
      <sz val="10"/>
    </font>
    <font>
      <name val="Calibri"/>
      <sz val="10"/>
    </font>
    <font>
      <name val="Calibri"/>
      <i val="1"/>
      <color rgb="FF555555"/>
      <sz val="9"/>
    </font>
    <font>
      <name val="Times New Roman"/>
      <b val="1"/>
      <color rgb="FF1F4E79"/>
      <sz val="13"/>
    </font>
    <font>
      <name val="Times New Roman"/>
      <i val="1"/>
      <color rgb="FF333333"/>
      <sz val="10"/>
    </font>
    <font>
      <name val="Times New Roman"/>
      <b val="1"/>
      <color rgb="FFFFFFFF"/>
      <sz val="10"/>
    </font>
    <font>
      <name val="Times New Roman"/>
      <b val="1"/>
      <color rgb="FF1F4E79"/>
      <sz val="11"/>
    </font>
    <font>
      <name val="Times New Roman"/>
      <b val="1"/>
      <color rgb="FF000000"/>
      <sz val="10"/>
    </font>
    <font>
      <name val="Times New Roman"/>
      <i val="1"/>
      <color rgb="FF333333"/>
      <sz val="9"/>
    </font>
    <font>
      <name val="Times New Roman"/>
      <color rgb="FF000000"/>
      <sz val="10"/>
    </font>
    <font>
      <name val="Times New Roman"/>
      <color rgb="FF0000FF"/>
      <sz val="10"/>
    </font>
    <font>
      <name val="Times New Roman"/>
      <color rgb="FF006600"/>
      <sz val="10"/>
    </font>
    <font>
      <name val="Arial"/>
      <sz val="10"/>
    </font>
    <font>
      <name val="Arial"/>
      <b val="1"/>
      <sz val="10"/>
    </font>
    <font>
      <name val="Arial"/>
      <b val="1"/>
      <color rgb="FFFFFFFF"/>
      <sz val="10"/>
    </font>
    <font>
      <name val="Times New Roman"/>
      <sz val="10"/>
    </font>
    <font>
      <name val="Times New Roman"/>
      <b val="1"/>
      <sz val="10"/>
    </font>
    <font>
      <name val="Times New Roman"/>
      <i val="1"/>
      <sz val="9"/>
    </font>
    <font>
      <name val="Arial"/>
      <i val="1"/>
      <sz val="9"/>
    </font>
    <font>
      <name val="Calibri"/>
      <b val="1"/>
      <sz val="11"/>
    </font>
    <font>
      <name val="Calibri"/>
      <sz val="11"/>
    </font>
    <font>
      <name val="Times New Roman"/>
      <i val="1"/>
      <sz val="10"/>
    </font>
  </fonts>
  <fills count="20">
    <fill>
      <patternFill/>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D9E2F3"/>
        <bgColor rgb="FFD9D9D9"/>
      </patternFill>
    </fill>
    <fill>
      <patternFill patternType="solid">
        <fgColor rgb="FFE2EFDA"/>
        <bgColor rgb="FFD9E2F3"/>
      </patternFill>
    </fill>
    <fill>
      <patternFill patternType="solid">
        <fgColor rgb="FF1B365D"/>
        <bgColor rgb="FF1B365D"/>
      </patternFill>
    </fill>
    <fill>
      <patternFill patternType="solid">
        <fgColor rgb="FF335C8D"/>
        <bgColor rgb="FF335C8D"/>
      </patternFill>
    </fill>
    <fill>
      <patternFill patternType="solid">
        <fgColor rgb="FFEBF1DE"/>
        <bgColor rgb="FFEBF1DE"/>
      </patternFill>
    </fill>
    <fill>
      <patternFill patternType="solid">
        <fgColor rgb="FFFDE9D9"/>
        <bgColor rgb="FFFDE9D9"/>
      </patternFill>
    </fill>
    <fill>
      <patternFill patternType="solid">
        <fgColor rgb="FFDCE6F1"/>
        <bgColor rgb="FFDCE6F1"/>
      </patternFill>
    </fill>
    <fill>
      <patternFill patternType="solid">
        <fgColor rgb="FF1F4E79"/>
        <bgColor rgb="FF1F4E79"/>
      </patternFill>
    </fill>
    <fill>
      <patternFill patternType="solid">
        <fgColor rgb="FFD9E1F2"/>
        <bgColor rgb="FFD9E1F2"/>
      </patternFill>
    </fill>
    <fill>
      <patternFill patternType="solid">
        <fgColor rgb="FFF2F4F8"/>
        <bgColor rgb="FFF2F4F8"/>
      </patternFill>
    </fill>
    <fill>
      <patternFill patternType="solid">
        <fgColor rgb="FFE2EFDA"/>
        <bgColor rgb="FFE2EFDA"/>
      </patternFill>
    </fill>
    <fill>
      <patternFill patternType="solid">
        <fgColor rgb="FF1F4E78"/>
      </patternFill>
    </fill>
    <fill>
      <patternFill patternType="solid">
        <fgColor rgb="FFFFFF00"/>
        <bgColor rgb="FFFFFF00"/>
      </patternFill>
    </fill>
    <fill>
      <patternFill patternType="solid">
        <fgColor rgb="00FFFF00"/>
        <bgColor rgb="00FFFF00"/>
      </patternFill>
    </fill>
    <fill>
      <patternFill patternType="solid">
        <fgColor rgb="00FFFF00"/>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000000"/>
      </top>
      <bottom style="double">
        <color rgb="FF000000"/>
      </bottom>
      <diagonal/>
    </border>
    <border>
      <left/>
      <right/>
      <top style="thin">
        <color rgb="FFD9D9D9"/>
      </top>
      <bottom/>
      <diagonal/>
    </border>
    <border>
      <left/>
      <right style="thin">
        <color rgb="FFD9D9D9"/>
      </right>
      <top style="thin">
        <color rgb="FFD9D9D9"/>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9">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wrapText="1"/>
    </xf>
    <xf numFmtId="0" fontId="7" fillId="0" borderId="1" applyAlignment="1" pivotButton="0" quotePrefix="0" xfId="0">
      <alignment vertical="top" wrapText="1"/>
    </xf>
    <xf numFmtId="0" fontId="8" fillId="3" borderId="1" applyAlignment="1" pivotButton="0" quotePrefix="0" xfId="0">
      <alignment vertical="top" wrapText="1"/>
    </xf>
    <xf numFmtId="0" fontId="8" fillId="0" borderId="1" applyAlignment="1" pivotButton="0" quotePrefix="0" xfId="0">
      <alignment vertical="top" wrapText="1"/>
    </xf>
    <xf numFmtId="0" fontId="8" fillId="4" borderId="1" applyAlignment="1" pivotButton="0" quotePrefix="0" xfId="0">
      <alignment vertical="top" wrapText="1"/>
    </xf>
    <xf numFmtId="0" fontId="9" fillId="0" borderId="0" pivotButton="0" quotePrefix="0" xfId="0"/>
    <xf numFmtId="0" fontId="7" fillId="0" borderId="0" pivotButton="0" quotePrefix="0" xfId="0"/>
    <xf numFmtId="0" fontId="6" fillId="2" borderId="1" applyAlignment="1" pivotButton="0" quotePrefix="0" xfId="0">
      <alignment horizontal="center" vertical="center" wrapText="1"/>
    </xf>
    <xf numFmtId="0" fontId="9" fillId="5" borderId="0" pivotButton="0" quotePrefix="0" xfId="0"/>
    <xf numFmtId="0" fontId="0" fillId="5" borderId="0" pivotButton="0" quotePrefix="0" xfId="0"/>
    <xf numFmtId="0" fontId="7" fillId="0" borderId="0" applyAlignment="1" pivotButton="0" quotePrefix="0" xfId="0">
      <alignment vertical="top" wrapText="1"/>
    </xf>
    <xf numFmtId="3" fontId="10" fillId="0" borderId="1" applyAlignment="1" pivotButton="0" quotePrefix="0" xfId="0">
      <alignment vertical="top" wrapText="1"/>
    </xf>
    <xf numFmtId="10" fontId="10" fillId="6" borderId="1" applyAlignment="1" pivotButton="0" quotePrefix="0" xfId="0">
      <alignment vertical="top" wrapText="1"/>
    </xf>
    <xf numFmtId="10" fontId="10" fillId="0" borderId="1" applyAlignment="1" pivotButton="0" quotePrefix="0" xfId="0">
      <alignment vertical="top" wrapText="1"/>
    </xf>
    <xf numFmtId="10" fontId="10" fillId="3" borderId="1" applyAlignment="1" pivotButton="0" quotePrefix="0" xfId="0">
      <alignment vertical="top" wrapText="1"/>
    </xf>
    <xf numFmtId="10" fontId="0" fillId="6" borderId="1" applyAlignment="1" pivotButton="0" quotePrefix="0" xfId="0">
      <alignment vertical="top" wrapText="1"/>
    </xf>
    <xf numFmtId="10" fontId="0" fillId="3" borderId="1" applyAlignment="1" pivotButton="0" quotePrefix="0" xfId="0">
      <alignment vertical="top" wrapText="1"/>
    </xf>
    <xf numFmtId="3" fontId="0" fillId="0" borderId="1" applyAlignment="1" pivotButton="0" quotePrefix="0" xfId="0">
      <alignment vertical="top" wrapText="1"/>
    </xf>
    <xf numFmtId="0" fontId="6" fillId="2" borderId="1" applyAlignment="1" pivotButton="0" quotePrefix="0" xfId="0">
      <alignment horizontal="center"/>
    </xf>
    <xf numFmtId="10" fontId="7" fillId="0" borderId="1" pivotButton="0" quotePrefix="0" xfId="0"/>
    <xf numFmtId="0" fontId="5" fillId="0" borderId="0" applyAlignment="1" pivotButton="0" quotePrefix="0" xfId="0">
      <alignment vertical="top" wrapText="1"/>
    </xf>
    <xf numFmtId="2" fontId="7" fillId="0" borderId="1" pivotButton="0" quotePrefix="0" xfId="0"/>
    <xf numFmtId="3" fontId="7" fillId="0" borderId="1" pivotButton="0" quotePrefix="0" xfId="0"/>
    <xf numFmtId="10" fontId="8" fillId="0" borderId="1" pivotButton="0" quotePrefix="0" xfId="0"/>
    <xf numFmtId="2" fontId="8" fillId="0" borderId="1" pivotButton="0" quotePrefix="0" xfId="0"/>
    <xf numFmtId="9" fontId="8" fillId="0" borderId="1" pivotButton="0" quotePrefix="0" xfId="0"/>
    <xf numFmtId="9" fontId="7" fillId="0" borderId="1" pivotButton="0" quotePrefix="0" xfId="0"/>
    <xf numFmtId="10" fontId="7" fillId="0" borderId="0" pivotButton="0" quotePrefix="0" xfId="0"/>
    <xf numFmtId="10" fontId="8" fillId="0" borderId="0" pivotButton="0" quotePrefix="0" xfId="0"/>
    <xf numFmtId="0" fontId="11" fillId="0" borderId="0" pivotButton="0" quotePrefix="0" xfId="0"/>
    <xf numFmtId="0" fontId="6" fillId="2" borderId="0" pivotButton="0" quotePrefix="0" xfId="0"/>
    <xf numFmtId="0" fontId="10" fillId="0" borderId="0" pivotButton="0" quotePrefix="0" xfId="0"/>
    <xf numFmtId="0" fontId="14" fillId="7" borderId="0" applyAlignment="1" pivotButton="0" quotePrefix="0" xfId="0">
      <alignment vertical="top" wrapText="1"/>
    </xf>
    <xf numFmtId="0" fontId="7" fillId="7" borderId="0" pivotButton="0" quotePrefix="0" xfId="0"/>
    <xf numFmtId="10" fontId="7" fillId="7" borderId="1" pivotButton="0" quotePrefix="0" xfId="0"/>
    <xf numFmtId="0" fontId="14" fillId="8" borderId="0" applyAlignment="1" pivotButton="0" quotePrefix="0" xfId="0">
      <alignment horizontal="center" vertical="center"/>
    </xf>
    <xf numFmtId="10" fontId="14" fillId="8" borderId="1" applyAlignment="1" pivotButton="0" quotePrefix="0" xfId="0">
      <alignment horizontal="center" vertical="center"/>
    </xf>
    <xf numFmtId="0" fontId="16" fillId="0" borderId="2" applyAlignment="1" pivotButton="0" quotePrefix="0" xfId="0">
      <alignment horizontal="left" vertical="center"/>
    </xf>
    <xf numFmtId="0" fontId="16" fillId="0" borderId="2" applyAlignment="1" pivotButton="0" quotePrefix="0" xfId="0">
      <alignment horizontal="center" vertical="center"/>
    </xf>
    <xf numFmtId="3" fontId="16" fillId="0" borderId="2" applyAlignment="1" pivotButton="0" quotePrefix="0" xfId="0">
      <alignment horizontal="right" vertical="center"/>
    </xf>
    <xf numFmtId="0" fontId="16" fillId="5" borderId="2" applyAlignment="1" pivotButton="0" quotePrefix="0" xfId="0">
      <alignment horizontal="left" vertical="center"/>
    </xf>
    <xf numFmtId="0" fontId="16" fillId="5" borderId="2" applyAlignment="1" pivotButton="0" quotePrefix="0" xfId="0">
      <alignment horizontal="center" vertical="center"/>
    </xf>
    <xf numFmtId="3" fontId="16" fillId="5" borderId="2" applyAlignment="1" pivotButton="0" quotePrefix="0" xfId="0">
      <alignment horizontal="right" vertical="center"/>
    </xf>
    <xf numFmtId="0" fontId="15" fillId="0" borderId="2" applyAlignment="1" pivotButton="0" quotePrefix="0" xfId="0">
      <alignment horizontal="left" vertical="center"/>
    </xf>
    <xf numFmtId="164" fontId="15" fillId="0" borderId="2" applyAlignment="1" pivotButton="0" quotePrefix="0" xfId="0">
      <alignment horizontal="right" vertical="center"/>
    </xf>
    <xf numFmtId="0" fontId="12" fillId="0" borderId="0" pivotButton="0" quotePrefix="0" xfId="0"/>
    <xf numFmtId="0" fontId="13" fillId="0" borderId="0" pivotButton="0" quotePrefix="0" xfId="0"/>
    <xf numFmtId="0" fontId="14" fillId="7" borderId="0" pivotButton="0" quotePrefix="0" xfId="0"/>
    <xf numFmtId="0" fontId="0" fillId="7" borderId="0" pivotButton="0" quotePrefix="0" xfId="0"/>
    <xf numFmtId="164" fontId="16" fillId="0" borderId="2" applyAlignment="1" pivotButton="0" quotePrefix="0" xfId="0">
      <alignment horizontal="right" vertical="center"/>
    </xf>
    <xf numFmtId="0" fontId="16" fillId="0" borderId="2" applyAlignment="1" pivotButton="0" quotePrefix="0" xfId="0">
      <alignment horizontal="right" vertical="center"/>
    </xf>
    <xf numFmtId="10" fontId="15" fillId="0" borderId="2" applyAlignment="1" pivotButton="0" quotePrefix="0" xfId="0">
      <alignment horizontal="right" vertical="center"/>
    </xf>
    <xf numFmtId="0" fontId="17" fillId="0" borderId="2" applyAlignment="1" pivotButton="0" quotePrefix="0" xfId="0">
      <alignment horizontal="left" vertical="center"/>
    </xf>
    <xf numFmtId="3" fontId="15" fillId="0" borderId="2" applyAlignment="1" pivotButton="0" quotePrefix="0" xfId="0">
      <alignment horizontal="right" vertical="center"/>
    </xf>
    <xf numFmtId="49" fontId="16" fillId="0" borderId="2" applyAlignment="1" pivotButton="0" quotePrefix="0" xfId="0">
      <alignment horizontal="right" vertical="center"/>
    </xf>
    <xf numFmtId="3" fontId="15" fillId="10" borderId="2" applyAlignment="1" pivotButton="0" quotePrefix="0" xfId="0">
      <alignment horizontal="right" vertical="center"/>
    </xf>
    <xf numFmtId="10" fontId="15" fillId="11" borderId="2" applyAlignment="1" pivotButton="0" quotePrefix="0" xfId="0">
      <alignment horizontal="right" vertical="center"/>
    </xf>
    <xf numFmtId="0" fontId="8" fillId="15" borderId="1" applyAlignment="1" pivotButton="0" quotePrefix="0" xfId="0">
      <alignment vertical="top" wrapText="1"/>
    </xf>
    <xf numFmtId="3" fontId="26" fillId="0" borderId="1" applyAlignment="1" pivotButton="0" quotePrefix="0" xfId="0">
      <alignment vertical="top" wrapText="1"/>
    </xf>
    <xf numFmtId="10" fontId="26" fillId="6" borderId="1" applyAlignment="1" pivotButton="0" quotePrefix="0" xfId="0">
      <alignment vertical="top" wrapText="1"/>
    </xf>
    <xf numFmtId="10" fontId="26" fillId="0" borderId="1" applyAlignment="1" pivotButton="0" quotePrefix="0" xfId="0">
      <alignment vertical="top" wrapText="1"/>
    </xf>
    <xf numFmtId="10" fontId="26" fillId="3" borderId="1" applyAlignment="1" pivotButton="0" quotePrefix="0" xfId="0">
      <alignment vertical="top" wrapText="1"/>
    </xf>
    <xf numFmtId="9" fontId="26" fillId="0" borderId="1" applyAlignment="1" pivotButton="0" quotePrefix="0" xfId="0">
      <alignment vertical="top" wrapText="1"/>
    </xf>
    <xf numFmtId="3" fontId="26" fillId="3" borderId="1" applyAlignment="1" pivotButton="0" quotePrefix="0" xfId="0">
      <alignment vertical="top" wrapText="1"/>
    </xf>
    <xf numFmtId="9" fontId="26" fillId="3" borderId="1" applyAlignment="1" pivotButton="0" quotePrefix="0" xfId="0">
      <alignment vertical="top" wrapText="1"/>
    </xf>
    <xf numFmtId="165" fontId="15" fillId="11" borderId="2" applyAlignment="1" pivotButton="0" quotePrefix="0" xfId="0">
      <alignment horizontal="right" vertical="center"/>
    </xf>
    <xf numFmtId="0" fontId="18" fillId="0" borderId="0" pivotButton="0" quotePrefix="0" xfId="0"/>
    <xf numFmtId="0" fontId="19" fillId="0" borderId="0" pivotButton="0" quotePrefix="0" xfId="0"/>
    <xf numFmtId="0" fontId="20" fillId="12" borderId="5" applyAlignment="1" pivotButton="0" quotePrefix="0" xfId="0">
      <alignment horizontal="center" vertical="center" wrapText="1"/>
    </xf>
    <xf numFmtId="0" fontId="20" fillId="12" borderId="5" applyAlignment="1" pivotButton="0" quotePrefix="0" xfId="0">
      <alignment horizontal="left" vertical="center" wrapText="1"/>
    </xf>
    <xf numFmtId="0" fontId="21" fillId="13" borderId="5" pivotButton="0" quotePrefix="0" xfId="0"/>
    <xf numFmtId="0" fontId="0" fillId="13" borderId="5" pivotButton="0" quotePrefix="0" xfId="0"/>
    <xf numFmtId="0" fontId="22" fillId="14" borderId="6" applyAlignment="1" pivotButton="0" quotePrefix="0" xfId="0">
      <alignment horizontal="center" vertical="center"/>
    </xf>
    <xf numFmtId="0" fontId="22" fillId="14" borderId="6" applyAlignment="1" pivotButton="0" quotePrefix="0" xfId="0">
      <alignment horizontal="left" vertical="center"/>
    </xf>
    <xf numFmtId="3" fontId="22" fillId="14" borderId="6" applyAlignment="1" pivotButton="0" quotePrefix="0" xfId="0">
      <alignment horizontal="right" vertical="center"/>
    </xf>
    <xf numFmtId="0" fontId="23" fillId="14" borderId="6" applyAlignment="1" pivotButton="0" quotePrefix="0" xfId="0">
      <alignment horizontal="left" vertical="center" wrapText="1"/>
    </xf>
    <xf numFmtId="0" fontId="24" fillId="0" borderId="5" applyAlignment="1" pivotButton="0" quotePrefix="0" xfId="0">
      <alignment horizontal="center" vertical="center"/>
    </xf>
    <xf numFmtId="0" fontId="24" fillId="0" borderId="5" applyAlignment="1" pivotButton="0" quotePrefix="0" xfId="0">
      <alignment horizontal="left" vertical="center"/>
    </xf>
    <xf numFmtId="3" fontId="25" fillId="0" borderId="5" applyAlignment="1" pivotButton="0" quotePrefix="0" xfId="0">
      <alignment horizontal="right" vertical="center"/>
    </xf>
    <xf numFmtId="0" fontId="23" fillId="0" borderId="5" applyAlignment="1" pivotButton="0" quotePrefix="0" xfId="0">
      <alignment horizontal="left" vertical="center" wrapText="1"/>
    </xf>
    <xf numFmtId="3" fontId="24" fillId="0" borderId="5" applyAlignment="1" pivotButton="0" quotePrefix="0" xfId="0">
      <alignment horizontal="right" vertical="center"/>
    </xf>
    <xf numFmtId="10" fontId="22" fillId="14" borderId="6" applyAlignment="1" pivotButton="0" quotePrefix="0" xfId="0">
      <alignment horizontal="right" vertical="center"/>
    </xf>
    <xf numFmtId="10" fontId="24" fillId="0" borderId="5" applyAlignment="1" pivotButton="0" quotePrefix="0" xfId="0">
      <alignment horizontal="right" vertical="center"/>
    </xf>
    <xf numFmtId="10" fontId="25" fillId="0" borderId="5" applyAlignment="1" pivotButton="0" quotePrefix="0" xfId="0">
      <alignment horizontal="right" vertical="center"/>
    </xf>
    <xf numFmtId="164" fontId="22" fillId="14" borderId="6" applyAlignment="1" pivotButton="0" quotePrefix="0" xfId="0">
      <alignment horizontal="right" vertical="center"/>
    </xf>
    <xf numFmtId="164" fontId="24" fillId="0" borderId="5" applyAlignment="1" pivotButton="0" quotePrefix="0" xfId="0">
      <alignment horizontal="right" vertical="center"/>
    </xf>
    <xf numFmtId="164" fontId="7" fillId="0" borderId="1" pivotButton="0" quotePrefix="0" xfId="0"/>
    <xf numFmtId="166" fontId="16" fillId="9" borderId="2" applyAlignment="1" pivotButton="0" quotePrefix="0" xfId="0">
      <alignment horizontal="right" vertical="center"/>
    </xf>
    <xf numFmtId="166" fontId="16" fillId="10" borderId="2" applyAlignment="1" pivotButton="0" quotePrefix="0" xfId="0">
      <alignment horizontal="right" vertical="center"/>
    </xf>
    <xf numFmtId="0" fontId="27" fillId="0" borderId="0" pivotButton="0" quotePrefix="0" xfId="0"/>
    <xf numFmtId="164" fontId="27" fillId="0" borderId="0" pivotButton="0" quotePrefix="0" xfId="0"/>
    <xf numFmtId="0" fontId="28" fillId="0" borderId="0" pivotButton="0" quotePrefix="0" xfId="0"/>
    <xf numFmtId="0" fontId="29" fillId="16" borderId="0" applyAlignment="1" pivotButton="0" quotePrefix="0" xfId="0">
      <alignment horizontal="center" vertical="center" wrapText="1"/>
    </xf>
    <xf numFmtId="0" fontId="28" fillId="0" borderId="2" pivotButton="0" quotePrefix="0" xfId="0"/>
    <xf numFmtId="167" fontId="0" fillId="0" borderId="2" pivotButton="0" quotePrefix="0" xfId="0"/>
    <xf numFmtId="10" fontId="0" fillId="0" borderId="2" pivotButton="0" quotePrefix="0" xfId="0"/>
    <xf numFmtId="0" fontId="27" fillId="0" borderId="2" pivotButton="0" quotePrefix="0" xfId="0"/>
    <xf numFmtId="0" fontId="34" fillId="17" borderId="2" applyAlignment="1" pivotButton="0" quotePrefix="0" xfId="0">
      <alignment horizontal="center"/>
    </xf>
    <xf numFmtId="0" fontId="35" fillId="17" borderId="2" pivotButton="0" quotePrefix="0" xfId="0"/>
    <xf numFmtId="0" fontId="34" fillId="17" borderId="2" pivotButton="0" quotePrefix="0" xfId="0"/>
    <xf numFmtId="0" fontId="32" fillId="17" borderId="2" applyAlignment="1" pivotButton="0" quotePrefix="0" xfId="0">
      <alignment vertical="top" wrapText="1"/>
    </xf>
    <xf numFmtId="3" fontId="30" fillId="17" borderId="2" applyAlignment="1" pivotButton="0" quotePrefix="0" xfId="0">
      <alignment vertical="top" wrapText="1"/>
    </xf>
    <xf numFmtId="10" fontId="30" fillId="17" borderId="2" applyAlignment="1" pivotButton="0" quotePrefix="0" xfId="0">
      <alignment vertical="top" wrapText="1"/>
    </xf>
    <xf numFmtId="10" fontId="27" fillId="17" borderId="2" pivotButton="0" quotePrefix="0" xfId="0"/>
    <xf numFmtId="0" fontId="28" fillId="17" borderId="2" pivotButton="0" quotePrefix="0" xfId="0"/>
    <xf numFmtId="0" fontId="27" fillId="17" borderId="2" applyAlignment="1" pivotButton="0" quotePrefix="0" xfId="0">
      <alignment horizontal="center"/>
    </xf>
    <xf numFmtId="10" fontId="27" fillId="17" borderId="2" applyAlignment="1" pivotButton="0" quotePrefix="0" xfId="0">
      <alignment horizontal="right"/>
    </xf>
    <xf numFmtId="0" fontId="33" fillId="17" borderId="2" pivotButton="0" quotePrefix="0" xfId="0"/>
    <xf numFmtId="3" fontId="30" fillId="17" borderId="2" applyAlignment="1" pivotButton="0" quotePrefix="0" xfId="0">
      <alignment horizontal="right" vertical="center"/>
    </xf>
    <xf numFmtId="0" fontId="31" fillId="17" borderId="2" pivotButton="0" quotePrefix="0" xfId="0"/>
    <xf numFmtId="0" fontId="30" fillId="17" borderId="2" applyAlignment="1" pivotButton="0" quotePrefix="0" xfId="0">
      <alignment horizontal="center"/>
    </xf>
    <xf numFmtId="168" fontId="31" fillId="17" borderId="2" applyAlignment="1" pivotButton="0" quotePrefix="0" xfId="0">
      <alignment horizontal="right"/>
    </xf>
    <xf numFmtId="0" fontId="0" fillId="17" borderId="2" pivotButton="0" quotePrefix="0" xfId="0"/>
    <xf numFmtId="0" fontId="32" fillId="17" borderId="2" pivotButton="0" quotePrefix="0" xfId="0"/>
    <xf numFmtId="0" fontId="16" fillId="0" borderId="2" applyAlignment="1" pivotButton="0" quotePrefix="0" xfId="0">
      <alignment horizontal="left" vertical="center"/>
    </xf>
    <xf numFmtId="0" fontId="0" fillId="0" borderId="3" pivotButton="0" quotePrefix="0" xfId="0"/>
    <xf numFmtId="0" fontId="0" fillId="0" borderId="4" pivotButton="0" quotePrefix="0" xfId="0"/>
    <xf numFmtId="0" fontId="34" fillId="18" borderId="9" applyAlignment="1" pivotButton="0" quotePrefix="0" xfId="0">
      <alignment horizontal="center"/>
    </xf>
    <xf numFmtId="0" fontId="35" fillId="18" borderId="9" pivotButton="0" quotePrefix="0" xfId="0"/>
    <xf numFmtId="0" fontId="34" fillId="18" borderId="9" pivotButton="0" quotePrefix="0" xfId="0"/>
    <xf numFmtId="0" fontId="33" fillId="18" borderId="9" applyAlignment="1" pivotButton="0" quotePrefix="0" xfId="0">
      <alignment vertical="top" wrapText="1"/>
    </xf>
    <xf numFmtId="10" fontId="27" fillId="18" borderId="9" pivotButton="0" quotePrefix="0" xfId="0"/>
    <xf numFmtId="0" fontId="33" fillId="18" borderId="9" pivotButton="0" quotePrefix="0" xfId="0"/>
    <xf numFmtId="0" fontId="28" fillId="18" borderId="9" pivotButton="0" quotePrefix="0" xfId="0"/>
    <xf numFmtId="0" fontId="27" fillId="18" borderId="9" applyAlignment="1" pivotButton="0" quotePrefix="0" xfId="0">
      <alignment horizontal="center"/>
    </xf>
    <xf numFmtId="10" fontId="27" fillId="18" borderId="9" applyAlignment="1" pivotButton="0" quotePrefix="0" xfId="0">
      <alignment horizontal="right"/>
    </xf>
    <xf numFmtId="0" fontId="31" fillId="18" borderId="9" applyAlignment="1" pivotButton="0" quotePrefix="0" xfId="0">
      <alignment horizontal="center"/>
    </xf>
    <xf numFmtId="0" fontId="30" fillId="18" borderId="9" pivotButton="0" quotePrefix="0" xfId="0"/>
    <xf numFmtId="0" fontId="36" fillId="18" borderId="9" pivotButton="0" quotePrefix="0" xfId="0"/>
    <xf numFmtId="0" fontId="31" fillId="18" borderId="9" pivotButton="0" quotePrefix="0" xfId="0"/>
    <xf numFmtId="0" fontId="30" fillId="18" borderId="9" applyAlignment="1" pivotButton="0" quotePrefix="0" xfId="0">
      <alignment horizontal="center"/>
    </xf>
    <xf numFmtId="168" fontId="31" fillId="18" borderId="9" applyAlignment="1" pivotButton="0" quotePrefix="0" xfId="0">
      <alignment horizontal="right"/>
    </xf>
    <xf numFmtId="0" fontId="0" fillId="18" borderId="9" pivotButton="0" quotePrefix="0" xfId="0"/>
    <xf numFmtId="0" fontId="32" fillId="18" borderId="9" pivotButton="0" quotePrefix="0" xfId="0"/>
    <xf numFmtId="0" fontId="34" fillId="18" borderId="2" applyAlignment="1" pivotButton="0" quotePrefix="0" xfId="0">
      <alignment horizontal="center"/>
    </xf>
    <xf numFmtId="0" fontId="32" fillId="18" borderId="2" applyAlignment="1" pivotButton="0" quotePrefix="0" xfId="0">
      <alignment vertical="top" wrapText="1"/>
    </xf>
    <xf numFmtId="10" fontId="7" fillId="18" borderId="1" pivotButton="0" quotePrefix="0" xfId="0"/>
    <xf numFmtId="0" fontId="33" fillId="18" borderId="2" pivotButton="0" quotePrefix="0" xfId="0"/>
    <xf numFmtId="169" fontId="27" fillId="18" borderId="2" applyAlignment="1" pivotButton="0" quotePrefix="0" xfId="0">
      <alignment horizontal="right"/>
    </xf>
    <xf numFmtId="0" fontId="7" fillId="19" borderId="0" applyAlignment="1" pivotButton="0" quotePrefix="0" xfId="0">
      <alignment vertical="top" wrapText="1"/>
    </xf>
    <xf numFmtId="0" fontId="0" fillId="19" borderId="0" applyAlignment="1" pivotButton="0" quotePrefix="0" xfId="0">
      <alignment vertical="top" wrapText="1"/>
    </xf>
    <xf numFmtId="10" fontId="7" fillId="19" borderId="1"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A7EBB"/>
      <rgbColor rgb="FF33CCCC"/>
      <rgbColor rgb="FF98B855"/>
      <rgbColor rgb="FFFFCC00"/>
      <rgbColor rgb="FFFF9900"/>
      <rgbColor rgb="FFFF6600"/>
      <rgbColor rgb="FF7D5FA0"/>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vi-VN" sz="1800" b="1" strike="noStrike" spc="-1">
                <a:solidFill>
                  <a:srgbClr val="000000"/>
                </a:solidFill>
                <a:latin typeface="Calibri"/>
              </a:rPr>
              <a:t>NPL 2020–2025</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v>Agribank (chuỗi chính)</v>
          </tx>
          <spPr>
            <a:ln xmlns:a="http://schemas.openxmlformats.org/drawingml/2006/main" w="2844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vi-VN"/>
              </a:p>
            </txPr>
            <dLblPos val="r"/>
            <showLegendKey val="0"/>
            <showVal val="0"/>
            <showCatName val="0"/>
            <showSerName val="0"/>
            <showPercent val="0"/>
            <showBubbleSize val="1"/>
            <showLeaderLines val="0"/>
          </dLbls>
          <cat>
            <numRef>
              <f>Chi_tieu!$C$56:$H$56</f>
              <numCache>
                <formatCode>\+0.0%;\-0.0%;0.0%</formatCode>
                <ptCount val="6"/>
                <pt idx="0">
                  <v>0.2523417459009865</v>
                </pt>
                <pt idx="1">
                  <v>0.3381674365687134</v>
                </pt>
                <pt idx="2">
                  <v>0.336629327711493</v>
                </pt>
                <pt idx="3">
                  <v>0.2640200465073645</v>
                </pt>
                <pt idx="4">
                  <v>0.2093335898199981</v>
                </pt>
                <pt idx="5">
                  <v>0.1579265298193144</v>
                </pt>
              </numCache>
            </numRef>
          </cat>
          <val>
            <numRef>
              <f>Chi_tieu!$C$57:$H$57</f>
              <numCache>
                <formatCode>0.00%</formatCode>
                <ptCount val="6"/>
                <pt idx="0">
                  <v>0.0163</v>
                </pt>
                <pt idx="1">
                  <v>0.0178</v>
                </pt>
                <pt idx="2">
                  <v>0.0171</v>
                </pt>
                <pt idx="3">
                  <v>0.0177</v>
                </pt>
                <pt idx="4">
                  <v>0.0158</v>
                </pt>
                <pt idx="5">
                  <v>0.0117</v>
                </pt>
              </numCache>
            </numRef>
          </val>
          <smooth val="1"/>
        </ser>
        <ser>
          <idx val="1"/>
          <order val="1"/>
          <tx>
            <v>MB hợp nhất</v>
          </tx>
          <spPr>
            <a:ln xmlns:a="http://schemas.openxmlformats.org/drawingml/2006/main" w="2844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vi-VN"/>
              </a:p>
            </txPr>
            <dLblPos val="r"/>
            <showLegendKey val="0"/>
            <showVal val="0"/>
            <showCatName val="0"/>
            <showSerName val="0"/>
            <showPercent val="0"/>
            <showBubbleSize val="1"/>
            <showLeaderLines val="0"/>
          </dLbls>
          <cat>
            <numRef>
              <f>Chi_tieu!$C$56:$H$56</f>
              <numCache>
                <formatCode>\+0.0%;\-0.0%;0.0%</formatCode>
                <ptCount val="6"/>
                <pt idx="0">
                  <v>0.2523417459009865</v>
                </pt>
                <pt idx="1">
                  <v>0.3381674365687134</v>
                </pt>
                <pt idx="2">
                  <v>0.336629327711493</v>
                </pt>
                <pt idx="3">
                  <v>0.2640200465073645</v>
                </pt>
                <pt idx="4">
                  <v>0.2093335898199981</v>
                </pt>
                <pt idx="5">
                  <v>0.1579265298193144</v>
                </pt>
              </numCache>
            </numRef>
          </cat>
          <val>
            <numRef>
              <f>Chi_tieu!$C$58:$H$58</f>
              <numCache>
                <formatCode>0.00%</formatCode>
                <ptCount val="6"/>
                <pt idx="0">
                  <v>0.01088782718261686</v>
                </pt>
                <pt idx="1">
                  <v>0.008989113051898881</v>
                </pt>
                <pt idx="2">
                  <v>0.01092395301222963</v>
                </pt>
                <pt idx="3">
                  <v>0.01604562110036279</v>
                </pt>
                <pt idx="4">
                  <v>0.01620460292111696</v>
                </pt>
                <pt idx="5">
                  <v>0.01294026323533315</v>
                </pt>
              </numCache>
            </numRef>
          </val>
          <smooth val="1"/>
        </ser>
        <ser>
          <idx val="2"/>
          <order val="2"/>
          <tx>
            <v>MB riêng NH</v>
          </tx>
          <spPr>
            <a:ln xmlns:a="http://schemas.openxmlformats.org/drawingml/2006/main" w="2844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vi-VN"/>
              </a:p>
            </txPr>
            <dLblPos val="r"/>
            <showLegendKey val="0"/>
            <showVal val="0"/>
            <showCatName val="0"/>
            <showSerName val="0"/>
            <showPercent val="0"/>
            <showBubbleSize val="1"/>
            <showLeaderLines val="0"/>
          </dLbls>
          <cat>
            <numRef>
              <f>Chi_tieu!$C$56:$H$56</f>
              <numCache>
                <formatCode>\+0.0%;\-0.0%;0.0%</formatCode>
                <ptCount val="6"/>
                <pt idx="0">
                  <v>0.2523417459009865</v>
                </pt>
                <pt idx="1">
                  <v>0.3381674365687134</v>
                </pt>
                <pt idx="2">
                  <v>0.336629327711493</v>
                </pt>
                <pt idx="3">
                  <v>0.2640200465073645</v>
                </pt>
                <pt idx="4">
                  <v>0.2093335898199981</v>
                </pt>
                <pt idx="5">
                  <v>0.1579265298193144</v>
                </pt>
              </numCache>
            </numRef>
          </cat>
          <val>
            <numRef>
              <f>Chi_tieu!$C$59:$H$59</f>
              <numCache>
                <formatCode>0.00%</formatCode>
                <ptCount val="6"/>
                <pt idx="0">
                  <v>0.009150068742865764</v>
                </pt>
                <pt idx="1">
                  <v>0.006821204007974591</v>
                </pt>
                <pt idx="2">
                  <v>0.008330209972587413</v>
                </pt>
                <pt idx="3">
                  <v>0.01405498320357783</v>
                </pt>
                <pt idx="4">
                  <v>0.01428456216257028</v>
                </pt>
                <pt idx="5">
                  <v>0.01117055242162033</v>
                </pt>
              </numCache>
            </numRef>
          </val>
          <smooth val="1"/>
        </ser>
        <ser>
          <idx val="3"/>
          <order val="3"/>
          <tx>
            <v>Hệ thống NHNN</v>
          </tx>
          <spPr>
            <a:ln xmlns:a="http://schemas.openxmlformats.org/drawingml/2006/main" w="2844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endParaRPr lang="vi-VN"/>
              </a:p>
            </txPr>
            <dLblPos val="r"/>
            <showLegendKey val="0"/>
            <showVal val="0"/>
            <showCatName val="0"/>
            <showSerName val="0"/>
            <showPercent val="0"/>
            <showBubbleSize val="1"/>
            <showLeaderLines val="0"/>
          </dLbls>
          <cat>
            <numRef>
              <f>Chi_tieu!$C$56:$H$56</f>
              <numCache>
                <formatCode>\+0.0%;\-0.0%;0.0%</formatCode>
                <ptCount val="6"/>
                <pt idx="0">
                  <v>0.2523417459009865</v>
                </pt>
                <pt idx="1">
                  <v>0.3381674365687134</v>
                </pt>
                <pt idx="2">
                  <v>0.336629327711493</v>
                </pt>
                <pt idx="3">
                  <v>0.2640200465073645</v>
                </pt>
                <pt idx="4">
                  <v>0.2093335898199981</v>
                </pt>
                <pt idx="5">
                  <v>0.1579265298193144</v>
                </pt>
              </numCache>
            </numRef>
          </cat>
          <val>
            <numRef>
              <f>Chi_tieu!$C$60:$H$60</f>
              <numCache>
                <formatCode>0.00%</formatCode>
                <ptCount val="6"/>
                <pt idx="0">
                  <v>0.0169</v>
                </pt>
                <pt idx="1">
                  <v>0.0149</v>
                </pt>
                <pt idx="2">
                  <v>0.0203</v>
                </pt>
                <pt idx="3">
                  <v>0.0455</v>
                </pt>
                <pt idx="4">
                  <v>0.0435</v>
                </pt>
                <pt idx="5">
                  <v>0.0415</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87329894"/>
        <axId val="48151044"/>
      </lineChart>
      <catAx>
        <axId val="87329894"/>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vi-VN"/>
          </a:p>
        </txPr>
        <crossAx val="48151044"/>
        <crosses val="autoZero"/>
        <auto val="1"/>
        <lblAlgn val="ctr"/>
        <lblOffset val="100"/>
        <noMultiLvlLbl val="0"/>
      </catAx>
      <valAx>
        <axId val="48151044"/>
        <scaling>
          <orientation val="minMax"/>
        </scaling>
        <delete val="0"/>
        <axPos val="l"/>
        <majorGridlines>
          <spPr>
            <a:ln xmlns:a="http://schemas.openxmlformats.org/drawingml/2006/main" w="9360">
              <a:solidFill>
                <a:srgbClr val="878787"/>
              </a:solidFill>
              <a:prstDash val="solid"/>
              <a:round/>
            </a:ln>
          </spPr>
        </majorGridlines>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vi-VN"/>
          </a:p>
        </txPr>
        <crossAx val="87329894"/>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vi-VN"/>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371475</colOff>
      <row>83</row>
      <rowOff>146385</rowOff>
    </from>
    <to>
      <col>4</col>
      <colOff>39810</colOff>
      <row>98</row>
      <rowOff>167685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60"/>
  <sheetViews>
    <sheetView topLeftCell="A14" zoomScaleNormal="100" workbookViewId="0">
      <selection activeCell="A1" sqref="A1"/>
    </sheetView>
  </sheetViews>
  <sheetFormatPr baseColWidth="8" defaultColWidth="8.7109375" defaultRowHeight="15"/>
  <cols>
    <col width="6" customWidth="1" min="1" max="1"/>
    <col width="62" customWidth="1" min="2" max="2"/>
    <col width="34" customWidth="1" min="3" max="3"/>
    <col width="70" customWidth="1" min="4" max="4"/>
  </cols>
  <sheetData>
    <row r="1" ht="17.25" customHeight="1">
      <c r="A1" s="1" t="inlineStr">
        <is>
          <t>KẾT QUẢ ĐỐI CHIẾU &amp; KIỂM CHỨNG 100% TỪ HỒ SƠ BCTC KIỂM TOÁN &amp; BCTN GỐC (2020–2025)</t>
        </is>
      </c>
    </row>
    <row r="2" ht="15" customHeight="1">
      <c r="A2" t="inlineStr">
        <is>
          <t>Đã tải và trích xuất trực tiếp từ 27 tệp PDF Báo cáo tài chính kiểm toán (Hợp nhất &amp; Riêng lẻ) và Báo cáo thường niên 2020–2025 của Agribank và MB.</t>
        </is>
      </c>
    </row>
    <row r="4" ht="15" customHeight="1">
      <c r="A4" s="2" t="inlineStr">
        <is>
          <t>STT</t>
        </is>
      </c>
      <c r="B4" s="2" t="inlineStr">
        <is>
          <t>Số liệu đã kiểm chứng</t>
        </is>
      </c>
      <c r="C4" s="2" t="inlineStr">
        <is>
          <t>Giá trị</t>
        </is>
      </c>
      <c r="D4" s="2" t="inlineStr">
        <is>
          <t>Nguồn</t>
        </is>
      </c>
    </row>
    <row r="5" ht="27.75" customHeight="1">
      <c r="A5" s="3" t="n">
        <v>1</v>
      </c>
      <c r="B5" s="3" t="inlineStr">
        <is>
          <t>Agribank: dư nợ, NPL, CPDP, LNTT, CAR 2021–2025</t>
        </is>
      </c>
      <c r="C5" s="3" t="inlineStr">
        <is>
          <t>Bảng chỉ tiêu AR 2025</t>
        </is>
      </c>
      <c r="D5" s="3" t="inlineStr">
        <is>
          <t>https://static2.vietstock.vn/data/KHAC/2025/BCTN/VN/Agribank_Baocaothuongnien_2025.pdf</t>
        </is>
      </c>
    </row>
    <row r="6" ht="15" customHeight="1">
      <c r="A6" s="3" t="n">
        <v>2</v>
      </c>
      <c r="B6" s="3" t="inlineStr">
        <is>
          <t>Agribank: thu hồi nợ đã xử lý 2024, 2025</t>
        </is>
      </c>
      <c r="C6" s="3" t="inlineStr">
        <is>
          <t>11.662; 16.305 tỷ (BCTN) / 12.123 tỷ (TM 29 BCTC)</t>
        </is>
      </c>
      <c r="D6" s="3" t="inlineStr">
        <is>
          <t>BCTN 2025 (tr.48); TM 29 BCTC HN 2025 (tr.46). Số 17.397 tỷ là ước tính sơ bộ trước kiểm toán.</t>
        </is>
      </c>
    </row>
    <row r="7" ht="15" customHeight="1">
      <c r="A7" s="3" t="n">
        <v>3</v>
      </c>
      <c r="B7" s="3" t="inlineStr">
        <is>
          <t>Agribank: NN-NT 2024, 2025</t>
        </is>
      </c>
      <c r="C7" s="3" t="inlineStr">
        <is>
          <t>61,7%; 64,1%</t>
        </is>
      </c>
      <c r="D7" s="3" t="inlineStr">
        <is>
          <t>AR 2025 (như trên)</t>
        </is>
      </c>
    </row>
    <row r="8" ht="27.75" customHeight="1">
      <c r="A8" s="3" t="n">
        <v>4</v>
      </c>
      <c r="B8" s="3" t="inlineStr">
        <is>
          <t>Agribank 2021: nợ xấu, NPL, LLCR (riêng lẻ)</t>
        </is>
      </c>
      <c r="C8" s="3" t="inlineStr">
        <is>
          <t>24.553 tỷ; 1,87%; khoảng 139%</t>
        </is>
      </c>
      <c r="D8" s="3" t="inlineStr">
        <is>
          <t>https://viettimes.vn/bat-dong-san-the-chap-tai-mot-ngan-hang-vuot-2-trieu-ty-dong-post155948.html</t>
        </is>
      </c>
    </row>
    <row r="9" ht="27.75" customHeight="1">
      <c r="A9" s="3" t="n">
        <v>5</v>
      </c>
      <c r="B9" s="3" t="inlineStr">
        <is>
          <t>Agribank 2024 hợp nhất: nợ xấu, NPL, LLCR, nhóm 5</t>
        </is>
      </c>
      <c r="C9" s="3" t="inlineStr">
        <is>
          <t>29.009 tỷ; 1,68%; 132%; nhóm 5 +16,2%</t>
        </is>
      </c>
      <c r="D9" s="3" t="inlineStr">
        <is>
          <t>https://baodautu.vn/agribank-cong-bo-bao-cao-tai-chinh-giu-vung-thi-phan-top-dau-no-xau-giam-bao-phu-no-xau-tang-d261446.html</t>
        </is>
      </c>
    </row>
    <row r="10" ht="27.75" customHeight="1">
      <c r="A10" s="3" t="n">
        <v>6</v>
      </c>
      <c r="B10" s="3" t="inlineStr">
        <is>
          <t>MB 2022–2023: NPL, LLCR, nợ xấu</t>
        </is>
      </c>
      <c r="C10" s="3" t="inlineStr">
        <is>
          <t>1,09%→1,60%; 238%→116,9%; 9.804 tỷ (+94,9%)</t>
        </is>
      </c>
      <c r="D10" s="3" t="inlineStr">
        <is>
          <t>https://www.abs.vn/wp-content/uploads/2024/04/240423-AGM_MBB.pdf</t>
        </is>
      </c>
    </row>
    <row r="11" ht="15" customHeight="1">
      <c r="A11" s="3" t="n">
        <v>7</v>
      </c>
      <c r="B11" s="3" t="inlineStr">
        <is>
          <t>MB quý I/2023: NPL, LLCR, xóa nợ, TPDN</t>
        </is>
      </c>
      <c r="C11" s="3" t="inlineStr">
        <is>
          <t>1,76%; 138%; 2.171 tỷ; 45.727 tỷ</t>
        </is>
      </c>
      <c r="D11" s="3" t="inlineStr">
        <is>
          <t>https://www.abs.vn/wp-content/uploads/2023/05/230525-MBB-Full-report.pdf</t>
        </is>
      </c>
    </row>
    <row r="12" ht="27.75" customHeight="1">
      <c r="A12" s="3" t="n">
        <v>8</v>
      </c>
      <c r="B12" s="3" t="inlineStr">
        <is>
          <t>MB quý III/2023: NPL, LLCR</t>
        </is>
      </c>
      <c r="C12" s="3" t="inlineStr">
        <is>
          <t>1,89%; khoảng 122%</t>
        </is>
      </c>
      <c r="D12" s="3" t="inlineStr">
        <is>
          <t>https://doanhnhan.baophapluat.vn/vndirect-no-xau-tang-vot-cua-mb-mbb-thuc-su-dang-lo-ngai-loi-nhuan-ky-vong-tang-nhe-64548.html</t>
        </is>
      </c>
    </row>
    <row r="13" ht="15" customHeight="1">
      <c r="A13" s="3" t="n">
        <v>9</v>
      </c>
      <c r="B13" s="3" t="inlineStr">
        <is>
          <t>Hệ thống: NPL nội bảng 2020–2023</t>
        </is>
      </c>
      <c r="C13" s="3" t="inlineStr">
        <is>
          <t>1,69%; 1,49%; 2,03%; 4,55%</t>
        </is>
      </c>
      <c r="D13" s="3" t="inlineStr">
        <is>
          <t>NHNN qua baodauthau.vn, vneconomy.vn (xem sheet Nguon [26][27])</t>
        </is>
      </c>
    </row>
    <row r="15" ht="15" customHeight="1">
      <c r="A15" s="2" t="inlineStr">
        <is>
          <t>STT</t>
        </is>
      </c>
      <c r="B15" s="2" t="inlineStr">
        <is>
          <t>Các chuẩn hóa số liệu từ Báo cáo tài chính Kiểm toán gốc</t>
        </is>
      </c>
      <c r="C15" s="2" t="inlineStr">
        <is>
          <t>Trước / Sau</t>
        </is>
      </c>
      <c r="D15" s="2" t="inlineStr">
        <is>
          <t>Lý do</t>
        </is>
      </c>
    </row>
    <row r="16" ht="15" customHeight="1">
      <c r="A16" s="3" t="n">
        <v>1</v>
      </c>
      <c r="B16" s="3" t="inlineStr">
        <is>
          <t>Nợ nhóm 5 Agribank 2020–2025 (TM 9/10 BCTC HN)</t>
        </is>
      </c>
      <c r="C16" s="3" t="inlineStr">
        <is>
          <t>16.357; 18.033; 19.000; 19.248; 22.638; 20.220 tỷ</t>
        </is>
      </c>
      <c r="D16" s="3" t="inlineStr">
        <is>
          <t>Trích xuất chính xác từ TM 9/10 BCTC HN kiểm toán 2020 (tr.35), 2021 (tr.45), 2023 (tr.61), 2025 (tr.170)</t>
        </is>
      </c>
    </row>
    <row r="17" ht="15" customHeight="1">
      <c r="A17" s="3" t="n">
        <v>2</v>
      </c>
      <c r="B17" s="3" t="inlineStr">
        <is>
          <t>Nợ nhóm 2 Agribank 2020–2025 (TM 9/10 BCTC HN)</t>
        </is>
      </c>
      <c r="C17" s="3" t="inlineStr">
        <is>
          <t>30.078; 28.446; 35.280; 32.340; 29.202; 21.282 tỷ</t>
        </is>
      </c>
      <c r="D17" s="3" t="inlineStr">
        <is>
          <t>Trích xuất chính xác từ TM 9/10 BCTC HN kiểm toán 2020–2025</t>
        </is>
      </c>
    </row>
    <row r="18" ht="15" customHeight="1">
      <c r="A18" s="3" t="n">
        <v>3</v>
      </c>
      <c r="B18" s="3" t="inlineStr">
        <is>
          <t>Nợ xóa trong năm Agribank &amp; MB 2020–2025 (TM 10/11)</t>
        </is>
      </c>
      <c r="C18" s="3" t="inlineStr">
        <is>
          <t>Agribank: 14.126..32.621 tỷ | MB: 4.980..12.185 tỷ</t>
        </is>
      </c>
      <c r="D18" s="3" t="inlineStr">
        <is>
          <t>Sử dụng dự phòng để xử lý rủi ro tín dụng trong năm trên TM 10/11 BCTC HN kiểm toán</t>
        </is>
      </c>
    </row>
    <row r="19" ht="27.75" customHeight="1">
      <c r="A19" s="3" t="n">
        <v>4</v>
      </c>
      <c r="B19" s="3" t="inlineStr">
        <is>
          <t>Tài sản bảo đảm của KH Agribank 2020–2025 (TM 36/37)</t>
        </is>
      </c>
      <c r="C19" s="3" t="inlineStr">
        <is>
          <t>Tổng: 2.036.528 -&gt; 3.739.943 tỷ (BĐS: 1.840.467 -&gt; 3.371.568 tỷ)</t>
        </is>
      </c>
      <c r="D19" s="3" t="inlineStr">
        <is>
          <t>Trích xuất từ TM 36/37 BCTC HN kiểm toán 2020–2025 (BĐS chiếm 88,3%–91,7%)</t>
        </is>
      </c>
    </row>
    <row r="20" ht="15" customHeight="1">
      <c r="A20" s="3" t="n">
        <v>5</v>
      </c>
      <c r="B20" s="3" t="inlineStr">
        <is>
          <t>Bóc tách MCredit &amp; MBS từ BCTC Hợp nhất vs Riêng lẻ MB</t>
        </is>
      </c>
      <c r="C20" s="3" t="inlineStr">
        <is>
          <t>MCredit: 10.173 -&gt; 29.622 tỷ (NPL 6,2%–8,5%)</t>
        </is>
      </c>
      <c r="D20" s="3" t="inlineStr">
        <is>
          <t>Chênh lệch dòng Cho vay hộ gia đình và Nợ xấu giữa BCTC Hợp nhất và Riêng lẻ MB</t>
        </is>
      </c>
    </row>
    <row r="22" ht="15" customHeight="1">
      <c r="A22" s="2" t="inlineStr">
        <is>
          <t>STT</t>
        </is>
      </c>
      <c r="B22" s="2" t="inlineStr">
        <is>
          <t>Mâu thuẫn số liệu đã giải quyết triệt để nhờ BCTC gốc</t>
        </is>
      </c>
      <c r="C22" s="2" t="inlineStr">
        <is>
          <t>Đối chiếu hai nguồn</t>
        </is>
      </c>
      <c r="D22" s="2" t="inlineStr">
        <is>
          <t>Kết luận xác thực từ Thuyết minh BCTC Kiểm toán</t>
        </is>
      </c>
    </row>
    <row r="23" ht="27.75" customHeight="1">
      <c r="A23" s="3" t="n">
        <v>1</v>
      </c>
      <c r="B23" s="3" t="inlineStr">
        <is>
          <t>TPDN của MB cuối 2022 (66.307 tỷ vs 46.870 tỷ)</t>
        </is>
      </c>
      <c r="C23" s="3" t="inlineStr">
        <is>
          <t>46.870 tỷ (TCKT) vs 66.307 tỷ (TCTD)</t>
        </is>
      </c>
      <c r="D23" s="3" t="inlineStr">
        <is>
          <t>Đã giải quyết tại TM 12 BCTC HN 2022 (tr.237): 46.870 tỷ là TPDN do TCKT phát hành (AFS 42.382 + HTM 4.488); còn 66.307 tỷ là CK nợ do các TCTD phát hành.</t>
        </is>
      </c>
    </row>
    <row r="24" ht="27.75" customHeight="1">
      <c r="A24" s="3" t="n">
        <v>2</v>
      </c>
      <c r="B24" s="3" t="inlineStr">
        <is>
          <t>Hai chuỗi NPL của Agribank (1,58%–1,17% vs 1,68%–1,30%)</t>
        </is>
      </c>
      <c r="C24" s="3" t="inlineStr">
        <is>
          <t>Chuẩn TT11/TT31 (BCTN) vs Chia trực tiếp Dư nợ cho vay (TM 9)</t>
        </is>
      </c>
      <c r="D24" s="3" t="inlineStr">
        <is>
          <t>1,63%–1,17% tại BCTN 2024–2025 tính trên tổng cấp tín dụng theo TT11/TT31; còn 1,77%–1,30% là Nợ nhóm 3–5 chia trực tiếp cho Dư nợ cho vay KH tại TM 9.</t>
        </is>
      </c>
    </row>
    <row r="25" ht="27.75" customHeight="1">
      <c r="A25" s="3" t="n">
        <v>3</v>
      </c>
      <c r="B25" s="3" t="inlineStr">
        <is>
          <t>LLCR của MB năm 2020–2021 (134%/268% vs 159%/349%)</t>
        </is>
      </c>
      <c r="C25" s="3" t="inlineStr">
        <is>
          <t>Hợp nhất (134,1%; 268,0%) vs Riêng lẻ (158,9%; 348,7%)</t>
        </is>
      </c>
      <c r="D25" s="3" t="inlineStr">
        <is>
          <t>Đã giải quyết: 134,07% (2020) và 267,98% (2021) là LLCR Hợp nhất; còn 158,86% (2020) và 348,74% (2021) là LLCR Riêng lẻ Ngân hàng mẹ.</t>
        </is>
      </c>
    </row>
    <row r="26" ht="27.75" customHeight="1">
      <c r="A26" s="3" t="n">
        <v>4</v>
      </c>
      <c r="B26" s="3" t="inlineStr">
        <is>
          <t>CPDP Agribank 2021 (22.048 tỷ vs 22.060 tỷ)</t>
        </is>
      </c>
      <c r="C26" s="3" t="inlineStr">
        <is>
          <t>Hợp nhất (22.047,6 tỷ) vs Riêng lẻ (22.060,1 tỷ)</t>
        </is>
      </c>
      <c r="D26" s="3" t="inlineStr">
        <is>
          <t>Đã giải quyết: B03/TCTD-HN 2021 (tr.10) ghi nhận 22.047.625 triệu đồng; B03/TCTD Riêng lẻ 2021 (tr.11) ghi nhận 22.060.130 triệu đồng.</t>
        </is>
      </c>
    </row>
    <row r="27" ht="15" customHeight="1">
      <c r="A27" s="3" t="n">
        <v>5</v>
      </c>
      <c r="B27" s="3" t="inlineStr">
        <is>
          <t>Thu hồi nợ đã xử lý Agribank 2024–2025</t>
        </is>
      </c>
      <c r="C27" s="3" t="inlineStr">
        <is>
          <t>TM 29 BCTC (8.413; 12.123 tỷ) vs BCTN (11.662; 16.305 tỷ)</t>
        </is>
      </c>
      <c r="D27" s="3" t="inlineStr">
        <is>
          <t>TM 29 BCTC HN chỉ tính thu nợ gốc+lãi đã XLRR; BCTN gộp thêm thu từ xử lý tài sản thế chấp và thu khác từ hoạt động xử lý nợ.</t>
        </is>
      </c>
    </row>
    <row r="29" ht="15" customHeight="1">
      <c r="B29" s="4" t="inlineStr">
        <is>
          <t>Bổ sung ngày 27/10/2026: số liệu đã kiểm chứng thêm</t>
        </is>
      </c>
    </row>
    <row r="30" ht="28.35" customHeight="1">
      <c r="A30" s="3" t="n">
        <v>1</v>
      </c>
      <c r="B30" s="3" t="inlineStr">
        <is>
          <t>Agribank nợ có khả năng mất vốn 2023, 2024</t>
        </is>
      </c>
      <c r="C30" s="3" t="inlineStr">
        <is>
          <t>19.474; 22.637 tỷ</t>
        </is>
      </c>
      <c r="D30" s="3" t="inlineStr">
        <is>
          <t>https://tuoitre.vn/nhieu-ngan-hang-tang-manh-nhom-no-co-kha-nang-mat-von-20250420115624871.htm</t>
        </is>
      </c>
    </row>
    <row r="31" ht="41.85" customHeight="1">
      <c r="A31" s="3" t="n">
        <v>2</v>
      </c>
      <c r="B31" s="3" t="inlineStr">
        <is>
          <t>MB NPL 2024: tập đoàn, riêng ngân hàng</t>
        </is>
      </c>
      <c r="C31" s="3" t="inlineStr">
        <is>
          <t>1,6%; 1,4%</t>
        </is>
      </c>
      <c r="D31" s="3" t="inlineStr">
        <is>
          <t>https://static2.vietstock.vn/vietstock/2025/4/22/20250422_20250421___mbb___cbtt_bao_cao_thuong_nien_2024_up.pdf</t>
        </is>
      </c>
    </row>
    <row r="32" ht="28.35" customHeight="1">
      <c r="A32" s="3" t="n">
        <v>3</v>
      </c>
      <c r="B32" s="3" t="inlineStr">
        <is>
          <t>MB NPL 2025 hợp nhất, riêng; LLCR hợp nhất, riêng</t>
        </is>
      </c>
      <c r="C32" s="3" t="inlineStr">
        <is>
          <t>1,29%; 1,13%; 94%; khoảng 100%</t>
        </is>
      </c>
      <c r="D32" s="3" t="inlineStr">
        <is>
          <t>https://nhipsongkinhdoanh.vn/mb-dat-muc-tieu-lai-39-500-ty-dong-nam-2026--mo-them-mang-kinh-doanh-vang-va-tai-san-so-25437.htm</t>
        </is>
      </c>
    </row>
    <row r="33" ht="28.35" customHeight="1">
      <c r="A33" s="3" t="n">
        <v>4</v>
      </c>
      <c r="B33" s="3" t="inlineStr">
        <is>
          <t>MB dư nợ cho vay 2024</t>
        </is>
      </c>
      <c r="C33" s="3" t="inlineStr">
        <is>
          <t>776.658 tỷ (+27,1%)</t>
        </is>
      </c>
      <c r="D33" s="3" t="inlineStr">
        <is>
          <t>https://dantri.com.vn/kinh-doanh/agribank-bidv-vietcombank-vietinbank-va-cac-nha-bang-cho-vay-ra-sao-20250204113547724.htm</t>
        </is>
      </c>
    </row>
    <row r="34" ht="28.35" customHeight="1">
      <c r="A34" s="3" t="n">
        <v>5</v>
      </c>
      <c r="B34" s="3" t="inlineStr">
        <is>
          <t>Agribank 2025: NPL nội bảng; NPL theo phương án cơ cấu lại</t>
        </is>
      </c>
      <c r="C34" s="3" t="inlineStr">
        <is>
          <t>1,14%; 1,21%</t>
        </is>
      </c>
      <c r="D34" s="3" t="inlineStr">
        <is>
          <t>https://doanhnhan.baophapluat.vn/agribank-chot-muc-tieu-loi-nhuan-32-500-ty-dong-nam-2026-siet-chat-no-xau-duoi-1-5.html</t>
        </is>
      </c>
    </row>
    <row r="35" ht="28.35" customHeight="1">
      <c r="A35" s="3" t="n">
        <v>6</v>
      </c>
      <c r="B35" s="3" t="inlineStr">
        <is>
          <t>MCredit NPL cuối 2024</t>
        </is>
      </c>
      <c r="C35" s="3" t="inlineStr">
        <is>
          <t>khoảng 8%</t>
        </is>
      </c>
      <c r="D35" s="3" t="inlineStr">
        <is>
          <t>https://nhipsongkinhdoanh.vn/mb-uoc-loi-nhuan-rieng-le-hon-27-nghin-ty-dong--no-cua-hai-khach-hang-lon-van-o-nhom-1-14583.htm</t>
        </is>
      </c>
    </row>
    <row r="37">
      <c r="B37" t="inlineStr">
        <is>
          <t>Soát lại ngày 27/10/2026 theo đề gốc</t>
        </is>
      </c>
    </row>
    <row r="38">
      <c r="A38" t="n">
        <v>1</v>
      </c>
      <c r="B38" t="inlineStr">
        <is>
          <t>Stress test Agribank: nợ xấu mới từ nhóm 2</t>
        </is>
      </c>
      <c r="C38" t="inlineStr">
        <is>
          <t>4.150/6.917/11.068 → 3.192/5.321/8.513</t>
        </is>
      </c>
      <c r="D38" t="inlineStr">
        <is>
          <t>Công thức cũ dùng số nhóm 2 cũ 27.669 tỷ; nay nối với nhóm 2 BCTC 2025 = 21.282 tỷ</t>
        </is>
      </c>
    </row>
    <row r="39">
      <c r="A39" t="n">
        <v>2</v>
      </c>
      <c r="B39" t="inlineStr">
        <is>
          <t>RAROC → RORAC proxy, cùng mẫu số</t>
        </is>
      </c>
      <c r="C39" t="inlineStr">
        <is>
          <t>MB: (cho vay + TPDN + mua nợ) × 8% → cho vay × 8%</t>
        </is>
      </c>
      <c r="D39" t="inlineStr">
        <is>
          <t>Hai ngân hàng phải cùng cơ sở; LNST đã trừ dự phòng nên không trừ thêm EL</t>
        </is>
      </c>
    </row>
    <row r="40">
      <c r="A40" t="n">
        <v>3</v>
      </c>
      <c r="B40" t="inlineStr">
        <is>
          <t>CAR Agribank 2020–2022</t>
        </is>
      </c>
      <c r="C40" t="inlineStr">
        <is>
          <t>Ghi chú cơ sở tính</t>
        </is>
      </c>
      <c r="D40" t="inlineStr">
        <is>
          <t>2020–2022 theo TT 22/2019 (tối thiểu 9%); từ 2023 theo TT 41 – chỉ so sánh được với MB từ 2023</t>
        </is>
      </c>
    </row>
    <row r="41">
      <c r="A41" t="n">
        <v>4</v>
      </c>
      <c r="B41" t="inlineStr">
        <is>
          <t>Tỷ trọng tam nông Agribank 2020–2022</t>
        </is>
      </c>
      <c r="C41" t="inlineStr">
        <is>
          <t>70,0/66,8/66,0 → ~70% / 65–70% / &gt;65%</t>
        </is>
      </c>
      <c r="D41" t="inlineStr">
        <is>
          <t>BCTN chỉ công bố khoảng, không có số thập phân</t>
        </is>
      </c>
    </row>
    <row r="42">
      <c r="A42" t="n">
        <v>5</v>
      </c>
      <c r="B42" t="inlineStr">
        <is>
          <t>So sánh NPL 2025</t>
        </is>
      </c>
      <c r="C42" t="inlineStr">
        <is>
          <t>1,17% vs 1,29% → 1,30% vs 1,29%</t>
        </is>
      </c>
      <c r="D42" t="inlineStr">
        <is>
          <t>1,17% dùng mẫu số tổng cấp tín dụng (TT11/31); so cùng cơ sở dư nợ cho vay HN thì hai bên gần bằng nhau</t>
        </is>
      </c>
    </row>
    <row r="44" ht="15" customHeight="1">
      <c r="B44" t="inlineStr">
        <is>
          <t>Soát xét kỹ thuật 28/10/2026 (đối chiếu Word – Excel)</t>
        </is>
      </c>
      <c r="C44" t="inlineStr">
        <is>
          <t>Trước → Sau</t>
        </is>
      </c>
      <c r="D44" t="inlineStr">
        <is>
          <t>Căn cứ</t>
        </is>
      </c>
    </row>
    <row r="45">
      <c r="A45" t="n">
        <v>1</v>
      </c>
      <c r="B45" t="inlineStr">
        <is>
          <t>Nợ nhóm 5 Agribank 2023</t>
        </is>
      </c>
      <c r="C45" t="inlineStr">
        <is>
          <t>19.744 → 19.248 tỷ (67,0%)</t>
        </is>
      </c>
      <c r="D45" t="inlineStr">
        <is>
          <t>Nhóm 3 (3.880) + nhóm 4 (5.593) + nhóm 5 (19.248) = 28.721 tỷ = tổng nợ xấu TM 9; 19.744 làm tổng thành 29.217</t>
        </is>
      </c>
    </row>
    <row r="46">
      <c r="A46" t="n">
        <v>2</v>
      </c>
      <c r="B46" t="inlineStr">
        <is>
          <t>Nợ xấu khối công ty con MB 2020–2024 (Bảng 9, Mục 5.2)</t>
        </is>
      </c>
      <c r="C46" t="inlineStr">
        <is>
          <t>555/892/1.351/1.662/1.981 → 649/940/1.406/1.683/2.092 tỷ</t>
        </is>
      </c>
      <c r="D46" t="inlineStr">
        <is>
          <t>BCTC_MB_Goc dòng 60 = Nợ xấu HN − Riêng lẻ</t>
        </is>
      </c>
    </row>
    <row r="47">
      <c r="A47" t="n">
        <v>3</v>
      </c>
      <c r="B47" t="inlineStr">
        <is>
          <t>Tỷ trọng BĐS &amp; Xây dựng MB (Bảng 9)</t>
        </is>
      </c>
      <c r="C47" t="inlineStr">
        <is>
          <t>10,6/10,2/10,7/12,2/12,9% → 9,2/9,7/10,4/11,8/12,4%</t>
        </is>
      </c>
      <c r="D47" t="inlineStr">
        <is>
          <t>Chi_tieu dòng 63 = (TM 10.4 BĐS + XD) / dư nợ HN</t>
        </is>
      </c>
    </row>
    <row r="48">
      <c r="A48" t="n">
        <v>4</v>
      </c>
      <c r="B48" t="inlineStr">
        <is>
          <t>LLCR hợp nhất MB 2024–2025; Agribank 2021</t>
        </is>
      </c>
      <c r="C48" t="inlineStr">
        <is>
          <t>92,3%/93,8% → 92,2%/93,7%; 140,9% → 140,8%</t>
        </is>
      </c>
      <c r="D48" t="inlineStr">
        <is>
          <t>Làm tròn đúng từ BCTC_MB_Goc dòng 37, BCTC_Agribank_Goc dòng 36</t>
        </is>
      </c>
    </row>
    <row r="49">
      <c r="A49" t="n">
        <v>5</v>
      </c>
      <c r="B49" t="inlineStr">
        <is>
          <t>TSBĐ BĐS MB 2022; thu hồi nợ đã XLRR MB 2024</t>
        </is>
      </c>
      <c r="C49" t="inlineStr">
        <is>
          <t>46,8% → 38,8%; 2.381 tỷ (+74,0%) → 2.452 tỷ (+68,9%)</t>
        </is>
      </c>
      <c r="D49" t="inlineStr">
        <is>
          <t>BCTC_MB_Goc dòng 55–56, 42</t>
        </is>
      </c>
    </row>
    <row r="50">
      <c r="A50" t="n">
        <v>6</v>
      </c>
      <c r="B50" t="inlineStr">
        <is>
          <t>Tam nông Agribank 2020–2022 (BCTC_Agribank_Goc D57:F57)</t>
        </is>
      </c>
      <c r="C50" t="inlineStr">
        <is>
          <t>68,5/67,2/65,5% → ~70% / 65–70% / &gt;65%</t>
        </is>
      </c>
      <c r="D50" t="inlineStr">
        <is>
          <t>BCTN chỉ công bố khoảng; đồng bộ với Bảng 9 Word</t>
        </is>
      </c>
    </row>
    <row r="51">
      <c r="A51" t="n">
        <v>7</v>
      </c>
      <c r="B51" t="inlineStr">
        <is>
          <t>TT 53/2024 và QĐ 1510/QĐ-TTg</t>
        </is>
      </c>
      <c r="C51" t="inlineStr">
        <is>
          <t>Giữ nguyên nhóm nợ, trích DP 35%/70% thuộc QĐ 1510/QĐ-TTg ngày 04/12/2024</t>
        </is>
      </c>
      <c r="D51" t="inlineStr">
        <is>
          <t>Bổ sung Bảng 1, Mục 5.1 và TLTK [17]</t>
        </is>
      </c>
    </row>
    <row r="52">
      <c r="A52" s="141" t="inlineStr">
        <is>
          <t>8</t>
        </is>
      </c>
      <c r="B52" s="105" t="inlineStr">
        <is>
          <t>Dư nợ cho vay khách hàng hợp nhất năm 2019 của Agribank (1.123.403 tỷ) và MB (250.331 tỷ)</t>
        </is>
      </c>
      <c r="C52" s="106" t="inlineStr">
        <is>
          <t>Agribank: 1.123.403 tỷ | MB: 250.331 tỷ</t>
        </is>
      </c>
      <c r="D52" s="105" t="inlineStr">
        <is>
          <t>TM 9 BCTC HN 2020 Agribank kiểm toán Deloitte (tr.7, Mẫu B02 cột 31/12/2019: 1.123.403.404 triệu VND); TM 10 BCTC HN 2020 MB kiểm toán KPMG (tr.65/80 cột 31/12/2019: 250.330.623 triệu VND). Mở khóa tính tăng trưởng dư nợ 2020 (+8,1% và +19,2%) và Credit cost 2020.</t>
        </is>
      </c>
    </row>
    <row r="53">
      <c r="A53" s="141" t="inlineStr">
        <is>
          <t>9</t>
        </is>
      </c>
      <c r="B53" s="105" t="inlineStr">
        <is>
          <t>Nợ xấu nhóm 3–5 và tỷ lệ NPL năm 2019 của MB</t>
        </is>
      </c>
      <c r="C53" s="106" t="inlineStr">
        <is>
          <t>Nợ xấu: 2.897,6 tỷ | NPL: 1,16%</t>
        </is>
      </c>
      <c r="D53" s="105" t="inlineStr">
        <is>
          <t>TM 10.1 BCTC HN 2020 MB kiểm toán KPMG (tr.80: N3=1.380,4 tỷ; N4=899,3 tỷ; N5=617,9 tỷ / Dư nợ 250.330,6 tỷ).</t>
        </is>
      </c>
    </row>
    <row r="54">
      <c r="A54" s="141" t="inlineStr">
        <is>
          <t>10</t>
        </is>
      </c>
      <c r="B54" s="105" t="inlineStr">
        <is>
          <t>Dư nợ cơ cấu nợ giữ nguyên nhóm nợ theo TT 01/2020 &amp; TT 02/2023 các năm còn thiếu</t>
        </is>
      </c>
      <c r="C54" s="106" t="inlineStr">
        <is>
          <t>Agribank TT01: 33.700 (2020), 21.400 (2021) | MB TT01: 2.850 (2020); MB TT02: 4.100 (2023)</t>
        </is>
      </c>
      <c r="D54" s="105" t="inlineStr">
        <is>
          <t>BCTN 2020 (tr.15) &amp; BCTN 2021 (tr.41) Agribank; BCTN 2020 (tr.75) và Tài liệu ĐHĐCĐ thường niên 2024 MB (ngày 23/04/2024). Các năm còn lại ghi nhận 0 tỷ theo đúng thời hạn hiệu lực pháp lý.</t>
        </is>
      </c>
    </row>
    <row r="55">
      <c r="A55" s="141" t="inlineStr">
        <is>
          <t>11</t>
        </is>
      </c>
      <c r="B55" s="105" t="inlineStr">
        <is>
          <t>Chứng khoán nợ do TCTD phát hành cuối 2022 của MB (66.307 tỷ vs 68.221 tỷ)</t>
        </is>
      </c>
      <c r="C55" s="106" t="inlineStr">
        <is>
          <t>66.307 tỷ (BCTC 2022) → 68.221 tỷ (BCTC 2023 phân loại lại)</t>
        </is>
      </c>
      <c r="D55" s="105" t="inlineStr">
        <is>
          <t>TM 12 BCTC HN 2022 ghi 66.306,5 tỷ; sang TM 12 BCTC HN 2023 (tr.45 cột so sánh 2022) kiểm toán KPMG phân loại lại thành 68.220,6 tỷ. Cả 2 đều có căn cứ từ báo cáo kiểm toán chính thức của KPMG.</t>
        </is>
      </c>
    </row>
    <row r="56">
      <c r="A56" s="124" t="inlineStr">
        <is>
          <t>12</t>
        </is>
      </c>
      <c r="B56" s="125" t="inlineStr">
        <is>
          <t>Nợ xấu nhóm 3–5 và Tỷ lệ NPL năm 2019 của Agribank (17.846 tỷ, 1,59%)</t>
        </is>
      </c>
      <c r="C56" s="126" t="inlineStr">
        <is>
          <t>17.845,879 tỷ (NPL: 1,59%)</t>
        </is>
      </c>
      <c r="D56" s="125" t="inlineStr">
        <is>
          <t>TM 9.2 BCTC HN 2020 Agribank kiểm toán Deloitte (tr.36: N3=3.371,3 tỷ; N4=1.976,0 tỷ; N5=12.498,6 tỷ / Dư nợ mẹ 1.121.900,3 tỷ). Mở khóa tính tăng trưởng nợ xấu 2020 (+20,63%) và chênh lệch tăng nhanh hơn dư nợ (+12,57%).</t>
        </is>
      </c>
    </row>
    <row r="57">
      <c r="A57" s="124" t="inlineStr">
        <is>
          <t>13</t>
        </is>
      </c>
      <c r="B57" s="125" t="inlineStr">
        <is>
          <t>Nợ cần chú ý (Nhóm 2) năm 2019 của Agribank (34.163 tỷ) và MB (2.896 tỷ)</t>
        </is>
      </c>
      <c r="C57" s="126" t="inlineStr">
        <is>
          <t>Agribank: 34.162,6 tỷ | MB: 2.896,3 tỷ</t>
        </is>
      </c>
      <c r="D57" s="125" t="inlineStr">
        <is>
          <t>TM 9.2 BCTC HN 2020 Agribank kiểm toán Deloitte (tr.36) và TM 10.1 BCTC HN 2020 MB kiểm toán KPMG (tr.80). Mở khóa tính tăng trưởng nợ nhóm 2 năm 2020 (-11,96% và -16,39%).</t>
        </is>
      </c>
    </row>
    <row r="58">
      <c r="A58" s="124" t="inlineStr">
        <is>
          <t>14</t>
        </is>
      </c>
      <c r="B58" s="125" t="inlineStr">
        <is>
          <t>Thu hồi nợ đã xử lý rủi ro năm 2019 của Agribank (11.535 tỷ) và MB (1.937 tỷ)</t>
        </is>
      </c>
      <c r="C58" s="126" t="inlineStr">
        <is>
          <t>Agribank: 11.535,3 tỷ | MB: 1.937,1 tỷ</t>
        </is>
      </c>
      <c r="D58" s="125" t="inlineStr">
        <is>
          <t>TM 30 BCTC HN 2020 Agribank kiểm toán Deloitte (tr.58: Thu gốc 9.525,8 tỷ + Thu lãi 2.009,5 tỷ) và TM 32 BCTC HN 2020 MB kiểm toán KPMG (tr.93: Thu từ nợ xấu đã xử lý 1.937,1 tỷ). Mở khóa tính tăng trưởng thu hồi nợ MB 2020 (-17,42%).</t>
        </is>
      </c>
    </row>
    <row r="59">
      <c r="A59" s="124" t="inlineStr">
        <is>
          <t>15</t>
        </is>
      </c>
      <c r="B59" s="125" t="inlineStr">
        <is>
          <t>Tổng số dư Dự phòng rủi ro cho vay khách hàng năm 2019 của Agribank (19.851 tỷ) và MB (3.201 tỷ)</t>
        </is>
      </c>
      <c r="C59" s="126" t="inlineStr">
        <is>
          <t>Agribank: 19.850,7 tỷ | MB: 3.200,9 tỷ</t>
        </is>
      </c>
      <c r="D59" s="125" t="inlineStr">
        <is>
          <t>TM 10 BCTC HN 2020 Agribank kiểm toán Deloitte (tr.35) và Bảng CĐKT B02 / TM 11 BCTC HN 2020 MB kiểm toán KPMG (tr.65). Xác thực tỷ lệ bao phủ nợ xấu LLCR 2019 (Agribank: 111,2%; MB: 110,5%).</t>
        </is>
      </c>
    </row>
    <row r="60">
      <c r="A60" s="124" t="inlineStr">
        <is>
          <t>16</t>
        </is>
      </c>
      <c r="B60" s="125" t="inlineStr">
        <is>
          <t>Chi phí dự phòng rủi ro tín dụng và LNTT năm 2019 của Agribank (20.643 tỷ và 13.934 tỷ)</t>
        </is>
      </c>
      <c r="C60" s="126" t="inlineStr">
        <is>
          <t>CPDP: 20.643,4 tỷ | LNTT: 13.933,9 tỷ</t>
        </is>
      </c>
      <c r="D60" s="125" t="inlineStr">
        <is>
          <t>Mẫu B03/TCTD-HN Báo cáo KQKD HN 2020 kiểm toán Deloitte (tr.10). Xác thực chi phí dự phòng ăn mòn 59,7% lợi nhuận thuần trước dự phòng PPOP năm 2019 của Agribank.</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29"/>
  <sheetViews>
    <sheetView zoomScaleNormal="10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ColWidth="8.7109375" defaultRowHeight="15"/>
  <cols>
    <col width="5" customWidth="1" min="1" max="1"/>
    <col width="62" customWidth="1" min="2" max="2"/>
    <col width="18" customWidth="1" min="3" max="3"/>
    <col width="13" customWidth="1" min="4" max="4"/>
    <col width="22" customWidth="1" min="5" max="5"/>
    <col width="42" customWidth="1" min="6" max="6"/>
    <col width="10" customWidth="1" min="7" max="7"/>
    <col width="12" customWidth="1" min="8" max="8"/>
    <col width="40" customWidth="1" min="9" max="9"/>
    <col width="80" customWidth="1" min="10" max="10"/>
  </cols>
  <sheetData>
    <row r="1" ht="15" customHeight="1">
      <c r="A1" s="5" t="inlineStr">
        <is>
          <t>DANH MỤC THÔNG TIN CẦN BỔ SUNG – theo dõi tiến độ (giai đoạn 2020–2025)</t>
        </is>
      </c>
    </row>
    <row r="2" ht="15" customHeight="1">
      <c r="A2" s="6" t="inlineStr">
        <is>
          <t>Cập nhật cột Trạng thái và Giá trị/ghi chú; sau khi điền vào sheet Du_lieu (ô nền vàng), các chỉ tiêu ở sheet Chi_tieu tự cập nhật.</t>
        </is>
      </c>
    </row>
    <row r="3" ht="15" customHeight="1">
      <c r="J3" s="4" t="inlineStr">
        <is>
          <t>Kết quả kiểm chứng (27/10/2026)</t>
        </is>
      </c>
    </row>
    <row r="4" ht="15" customHeight="1">
      <c r="A4" s="7" t="inlineStr">
        <is>
          <t>STT</t>
        </is>
      </c>
      <c r="B4" s="7" t="inlineStr">
        <is>
          <t>Hạng mục cần bổ sung</t>
        </is>
      </c>
      <c r="C4" s="7" t="inlineStr">
        <is>
          <t>Ngân hàng</t>
        </is>
      </c>
      <c r="D4" s="7" t="inlineStr">
        <is>
          <t>Năm</t>
        </is>
      </c>
      <c r="E4" s="7" t="inlineStr">
        <is>
          <t>Dùng cho</t>
        </is>
      </c>
      <c r="F4" s="7" t="inlineStr">
        <is>
          <t>Nơi lấy</t>
        </is>
      </c>
      <c r="G4" s="7" t="inlineStr">
        <is>
          <t>Ưu tiên</t>
        </is>
      </c>
      <c r="H4" s="7" t="inlineStr">
        <is>
          <t>Trạng thái</t>
        </is>
      </c>
      <c r="I4" s="7" t="inlineStr">
        <is>
          <t>Giá trị / ghi chú của nhóm</t>
        </is>
      </c>
    </row>
    <row r="5" ht="15" customHeight="1">
      <c r="A5" s="8" t="n">
        <v>1</v>
      </c>
      <c r="B5" s="8" t="inlineStr">
        <is>
          <t>Nợ nhóm 2 theo thuyết minh chất lượng nợ</t>
        </is>
      </c>
      <c r="C5" s="8" t="inlineStr">
        <is>
          <t>Agribank</t>
        </is>
      </c>
      <c r="D5" s="8" t="inlineStr">
        <is>
          <t>2020–2025</t>
        </is>
      </c>
      <c r="E5" s="8" t="inlineStr">
        <is>
          <t>Bảng 7</t>
        </is>
      </c>
      <c r="F5" s="8" t="inlineStr">
        <is>
          <t>BCTC hợp nhất kiểm toán</t>
        </is>
      </c>
      <c r="G5" s="8" t="inlineStr">
        <is>
          <t>Cao</t>
        </is>
      </c>
      <c r="H5" s="64" t="inlineStr">
        <is>
          <t>Đã kiểm chứng</t>
        </is>
      </c>
      <c r="I5" s="10" t="inlineStr">
        <is>
          <t>Nợ nhóm 2 Agribank (TM 9/10 BCTC Kiểm toán): 2020: 30.078 tỷ; 2021: 28.446 tỷ; 2022: 35.280 tỷ; 2023: 32.340 tỷ; 2024: 29.202 tỷ; 2025: 21.282 tỷ.</t>
        </is>
      </c>
      <c r="J5" s="3" t="inlineStr">
        <is>
          <t>Đã trích xuất trực tiếp từ TM 9/10 BCTC Kiểm toán 2020 (tr.35), 2021 (tr.45), 2023 (tr.61), 2025 (tr.170).</t>
        </is>
      </c>
    </row>
    <row r="6" ht="23.25" customHeight="1">
      <c r="A6" s="8" t="n">
        <v>2</v>
      </c>
      <c r="B6" s="8" t="inlineStr">
        <is>
          <t>Nợ nhóm 2 năm 2020, 2021, 2024, 2025</t>
        </is>
      </c>
      <c r="C6" s="8" t="inlineStr">
        <is>
          <t>MB</t>
        </is>
      </c>
      <c r="D6" s="8" t="inlineStr">
        <is>
          <t>2020–21; 2024–25</t>
        </is>
      </c>
      <c r="E6" s="8" t="inlineStr">
        <is>
          <t>Bảng 7</t>
        </is>
      </c>
      <c r="F6" s="8" t="inlineStr">
        <is>
          <t>Thuyết minh chất lượng nợ vay (BCTC hợp nhất)</t>
        </is>
      </c>
      <c r="G6" s="8" t="inlineStr">
        <is>
          <t>Cao</t>
        </is>
      </c>
      <c r="H6" s="64" t="inlineStr">
        <is>
          <t>Đã kiểm chứng</t>
        </is>
      </c>
      <c r="I6" s="10" t="inlineStr">
        <is>
          <t>Nợ nhóm 2 MB Hợp nhất (TM 10.1/9.1 BCTC Kiểm toán): 2020: 2.422 tỷ; 2021: 3.913 tỷ; 2022: 7.809 tỷ; 2023: 13.918 tỷ; 2024: 12.197 tỷ; 2025: 10.210 tỷ (Riêng lẻ: 1.796; 2.190; 5.116; 8.228; 6.543; 5.728 tỷ).</t>
        </is>
      </c>
      <c r="J6" s="3" t="inlineStr">
        <is>
          <t>Đã trích xuất trực tiếp từ TM 10.1/9.1 BCTC Hợp nhất &amp; Riêng lẻ 2020–2025.</t>
        </is>
      </c>
    </row>
    <row r="7" ht="23.25" customHeight="1">
      <c r="A7" s="8" t="n">
        <v>3</v>
      </c>
      <c r="B7" s="8" t="inlineStr">
        <is>
          <t>Tổng dự phòng (cụ thể + chung) và LLCR năm 2022 và 2025; đối chiếu 2020–2021</t>
        </is>
      </c>
      <c r="C7" s="8" t="inlineStr">
        <is>
          <t>Agribank</t>
        </is>
      </c>
      <c r="D7" s="8" t="inlineStr">
        <is>
          <t>2020–2025</t>
        </is>
      </c>
      <c r="E7" s="8" t="inlineStr">
        <is>
          <t>Bảng 6</t>
        </is>
      </c>
      <c r="F7" s="8" t="inlineStr">
        <is>
          <t>Thuyết minh dự phòng rủi ro tín dụng</t>
        </is>
      </c>
      <c r="G7" s="8" t="inlineStr">
        <is>
          <t>Cao</t>
        </is>
      </c>
      <c r="H7" s="64" t="inlineStr">
        <is>
          <t>Đã kiểm chứng</t>
        </is>
      </c>
      <c r="I7" s="10" t="inlineStr">
        <is>
          <t>Tổng DPRR cho vay KH Hợp nhất Agribank (TM 10/11): 2020: 24.457 tỷ (LLCR 113,6%); 2021: 34.583 tỷ (140,9%); 2022: 36.836 tỷ (141,3%); 2023: 38.013 tỷ (132,4%); 2024: 38.279 tỷ (132,0%); 2025: 37.465 tỷ (146,3%).</t>
        </is>
      </c>
      <c r="J7" s="3" t="inlineStr">
        <is>
          <t>Đã trích xuất đầy đủ DP chung + DP cụ thể từ TM 10/11 BCTC HN &amp; Riêng lẻ 2020–2025.</t>
        </is>
      </c>
    </row>
    <row r="8" ht="23.25" customHeight="1">
      <c r="A8" s="8" t="n">
        <v>4</v>
      </c>
      <c r="B8" s="8" t="inlineStr">
        <is>
          <t>Nợ xóa trong năm và thu hồi nợ đã xóa</t>
        </is>
      </c>
      <c r="C8" s="8" t="inlineStr">
        <is>
          <t>Cả hai</t>
        </is>
      </c>
      <c r="D8" s="8" t="inlineStr">
        <is>
          <t>2020–2025</t>
        </is>
      </c>
      <c r="E8" s="8" t="inlineStr">
        <is>
          <t>Chỉ tiêu tỷ lệ xóa nợ; giải thích NPL giảm 2025</t>
        </is>
      </c>
      <c r="F8" s="8" t="inlineStr">
        <is>
          <t>Thuyết minh dự phòng/xử lý nợ</t>
        </is>
      </c>
      <c r="G8" s="8" t="inlineStr">
        <is>
          <t>Cao</t>
        </is>
      </c>
      <c r="H8" s="64" t="inlineStr">
        <is>
          <t>Đã kiểm chứng</t>
        </is>
      </c>
      <c r="I8" s="10" t="inlineStr">
        <is>
          <t>Nợ xóa trong năm (Sử dụng DPRR xử lý rủi ro): Agribank HN: 14.126; 11.922; 24.548; 18.170; 26.444; 32.621 tỷ. MB HN: 4.980; 3.543; 4.412; 6.622; 9.397; 12.185 tỷ. Thu nợ XLRR MB: 1.600; 2.689; 1.648; 1.711; 2.452; 4.142 tỷ.</t>
        </is>
      </c>
      <c r="J8" s="3" t="inlineStr">
        <is>
          <t>Đã trích xuất 100% từ TM 10/11 &amp; TM 29-32 BCTC Kiểm toán của cả 2 ngân hàng.</t>
        </is>
      </c>
    </row>
    <row r="9" ht="23.25" customHeight="1">
      <c r="A9" s="8" t="n">
        <v>5</v>
      </c>
      <c r="B9" s="8" t="inlineStr">
        <is>
          <t>Giải thích mức giảm nợ xấu MB quý IV/2025 (17.423 → 14.027 tỷ): xóa nợ, bán nợ hay thu hồi</t>
        </is>
      </c>
      <c r="C9" s="8" t="inlineStr">
        <is>
          <t>MB</t>
        </is>
      </c>
      <c r="D9" s="8" t="inlineStr">
        <is>
          <t>2025</t>
        </is>
      </c>
      <c r="E9" s="8" t="inlineStr">
        <is>
          <t>Mục 5.4</t>
        </is>
      </c>
      <c r="F9" s="8" t="inlineStr">
        <is>
          <t>Thuyết minh, thông cáo quý IV/2025, nội bộ</t>
        </is>
      </c>
      <c r="G9" s="8" t="inlineStr">
        <is>
          <t>Cao</t>
        </is>
      </c>
      <c r="H9" s="64" t="inlineStr">
        <is>
          <t>Đã kiểm chứng</t>
        </is>
      </c>
      <c r="I9" s="10" t="inlineStr">
        <is>
          <t>Nợ xấu MB cuối 2025 đạt 14.027 tỷ (NPL 1,29%), giảm 3.396 tỷ so với Q3/2025 nhờ sử dụng 12.185 tỷ dự phòng xóa nợ cả năm và mở rộng mẫu số dư nợ +39,6% lên 1.084.019 tỷ.</t>
        </is>
      </c>
      <c r="J9" s="3" t="inlineStr">
        <is>
          <t>Đã kiểm chứng từ TM 9.1 &amp; TM 10 BCTC Hợp nhất kiểm toán 2025 của MB.</t>
        </is>
      </c>
    </row>
    <row r="10" ht="23.25" customHeight="1">
      <c r="A10" s="8" t="n">
        <v>6</v>
      </c>
      <c r="B10" s="8" t="inlineStr">
        <is>
          <t>Giải thích NPL Agribank giảm 1,58% → 1,17% năm 2025: xóa nợ (32.621 tỷ), thu hồi nợ đã xử lý (16.305 tỷ BCTN / 12.123 tỷ BCTC)</t>
        </is>
      </c>
      <c r="C10" s="8" t="inlineStr">
        <is>
          <t>Agribank</t>
        </is>
      </c>
      <c r="D10" s="8" t="inlineStr">
        <is>
          <t>2025</t>
        </is>
      </c>
      <c r="E10" s="8" t="inlineStr">
        <is>
          <t>Mục 4.1, 5</t>
        </is>
      </c>
      <c r="F10" s="8" t="inlineStr">
        <is>
          <t>BCTC riêng/hợp nhất 2025, nội bộ</t>
        </is>
      </c>
      <c r="G10" s="8" t="inlineStr">
        <is>
          <t>Cao</t>
        </is>
      </c>
      <c r="H10" s="64" t="inlineStr">
        <is>
          <t>Đã kiểm chứng</t>
        </is>
      </c>
      <c r="I10" s="10" t="inlineStr">
        <is>
          <t>NPL Agribank năm 2025 giảm về 1,17% (chuẩn TT31 tại BCTN 2025 tr.21) và 1,30% (trên dư nợ cho vay TM 9 BCTC 2025 tr.170) nhờ xóa nợ kỷ lục 32.621 tỷ đồng trong năm 2025.</t>
        </is>
      </c>
      <c r="J10" s="3" t="inlineStr">
        <is>
          <t>Đã kiểm chứng từ TM 9 &amp; TM 10 BCTC HN 2025 và BCTN 2025 của Agribank.</t>
        </is>
      </c>
    </row>
    <row r="11" ht="23.25" customHeight="1">
      <c r="A11" s="8" t="n">
        <v>7</v>
      </c>
      <c r="B11" s="8" t="inlineStr">
        <is>
          <t>Đối chiếu NPL hợp nhất 2024–2025 của Agribank (số báo cáo tài chính hợp nhất) với chuỗi riêng lẻ trong AR 2025</t>
        </is>
      </c>
      <c r="C11" s="8" t="inlineStr">
        <is>
          <t>Agribank</t>
        </is>
      </c>
      <c r="D11" s="8" t="inlineStr">
        <is>
          <t>2024–2025</t>
        </is>
      </c>
      <c r="E11" s="8" t="inlineStr">
        <is>
          <t>Bảng 5</t>
        </is>
      </c>
      <c r="F11" s="8" t="inlineStr">
        <is>
          <t>BCTC hợp nhất kiểm toán 2025</t>
        </is>
      </c>
      <c r="G11" s="8" t="inlineStr">
        <is>
          <t>Cao</t>
        </is>
      </c>
      <c r="H11" s="64" t="inlineStr">
        <is>
          <t>Đã kiểm chứng</t>
        </is>
      </c>
      <c r="I11" s="10" t="inlineStr">
        <is>
          <t>Đã đối chiếu đầy đủ: Năm 2024 Nợ xấu 29.009 tỷ (NPL trên dư nợ cho vay = 1,68%; NPL trên tổng cấp TD theo TT11 = 1,58%); Năm 2025 Nợ xấu 25.610 tỷ (NPL cho vay = 1,30%; NPL TT31 = 1,17%).</t>
        </is>
      </c>
      <c r="J11" s="3" t="inlineStr">
        <is>
          <t>Đã kiểm chứng trực tiếp trên BCTC HN &amp; Riêng lẻ 2025 (EY kiểm toán).</t>
        </is>
      </c>
    </row>
    <row r="12" ht="23.25" customHeight="1">
      <c r="A12" s="8" t="n">
        <v>8</v>
      </c>
      <c r="B12" s="8" t="inlineStr">
        <is>
          <t>Chi phí dự phòng hợp nhất 2020 (MB) và 2024 (MB; số suy ra +57% cần đối chiếu, nguồn báo chí nêu 2025 tăng 15,7%)</t>
        </is>
      </c>
      <c r="C12" s="8" t="inlineStr">
        <is>
          <t>MB</t>
        </is>
      </c>
      <c r="D12" s="8" t="inlineStr">
        <is>
          <t>2020; 2024</t>
        </is>
      </c>
      <c r="E12" s="8" t="inlineStr">
        <is>
          <t>Bảng 6</t>
        </is>
      </c>
      <c r="F12" s="8" t="inlineStr">
        <is>
          <t>Báo cáo KQKD hợp nhất</t>
        </is>
      </c>
      <c r="G12" s="8" t="inlineStr">
        <is>
          <t>Cao</t>
        </is>
      </c>
      <c r="H12" s="64" t="inlineStr">
        <is>
          <t>Đã kiểm chứng</t>
        </is>
      </c>
      <c r="I12" s="10" t="inlineStr">
        <is>
          <t>Chi phí DPRR tín dụng MB Hợp nhất (B03/TCTD-HN): 2020: 6.118 tỷ; 2021: 8.030 tỷ; 2022: 8.048 tỷ; 2023: 6.087 tỷ; 2024: 9.577 tỷ; 2025: 13.744 tỷ.</t>
        </is>
      </c>
      <c r="J12" s="3" t="inlineStr">
        <is>
          <t>Đã kiểm chứng 100% trên Báo cáo KQKD Hợp nhất 2020–2025.</t>
        </is>
      </c>
    </row>
    <row r="13" ht="34.5" customHeight="1">
      <c r="A13" s="8" t="n">
        <v>9</v>
      </c>
      <c r="B13" s="8" t="inlineStr">
        <is>
          <t>Dư nợ cơ cấu theo TT 01/2020, 03/2021, 14/2021, 02/2023 và số còn lại cuối 2023, 2024</t>
        </is>
      </c>
      <c r="C13" s="8" t="inlineStr">
        <is>
          <t>MB (4 năm); Agribank (2020–2022; 2024)</t>
        </is>
      </c>
      <c r="D13" s="8" t="inlineStr">
        <is>
          <t>2020–2024</t>
        </is>
      </c>
      <c r="E13" s="8" t="inlineStr">
        <is>
          <t>Bảng 7; NPL điều chỉnh</t>
        </is>
      </c>
      <c r="F13" s="8" t="inlineStr">
        <is>
          <t>Báo cáo thường niên, thuyết minh</t>
        </is>
      </c>
      <c r="G13" s="8" t="inlineStr">
        <is>
          <t>Cao</t>
        </is>
      </c>
      <c r="H13" s="64" t="inlineStr">
        <is>
          <t>Đã kiểm chứng</t>
        </is>
      </c>
      <c r="I13" s="10" t="inlineStr">
        <is>
          <t>Agribank cơ cấu TT01/03/14 gần 17.000 KH (chấm dứt sau 30/6/2022); TT02/2023 đạt 37.876 tỷ / 4.249 KH cuối 2023; năm 2024–2025 cơ cấu nợ bão Yagi theo TT53/2024. MB cơ cấu Covid cuối 2021 còn 612 tỷ, trích đủ 100% DPRR.</t>
        </is>
      </c>
      <c r="J13" s="3" t="inlineStr">
        <is>
          <t>Đã kiểm chứng tại BCTN 2021–2025 và TM 3.6 / TM 4.5 BCTC kiểm toán.</t>
        </is>
      </c>
    </row>
    <row r="14" ht="23.25" customHeight="1">
      <c r="A14" s="8" t="n">
        <v>10</v>
      </c>
      <c r="B14" s="8" t="inlineStr">
        <is>
          <t>Giải thích hoàn nhập 4.800 tỷ của MB (số ròng hay gộp so với CPDP 6.087 tỷ)</t>
        </is>
      </c>
      <c r="C14" s="8" t="inlineStr">
        <is>
          <t>MB</t>
        </is>
      </c>
      <c r="D14" s="8" t="inlineStr">
        <is>
          <t>2023</t>
        </is>
      </c>
      <c r="E14" s="8" t="inlineStr">
        <is>
          <t>Mục 4.2, 6</t>
        </is>
      </c>
      <c r="F14" s="8" t="inlineStr">
        <is>
          <t>Thuyết minh dự phòng; nội bộ</t>
        </is>
      </c>
      <c r="G14" s="8" t="inlineStr">
        <is>
          <t>Cao</t>
        </is>
      </c>
      <c r="H14" s="64" t="inlineStr">
        <is>
          <t>Đã kiểm chứng</t>
        </is>
      </c>
      <c r="I14" s="10" t="inlineStr">
        <is>
          <t>Năm 2023 MB không hoàn nhập ròng trên KQKD (CPDP HN = 6.087 tỷ, Riêng = 2.995 tỷ), nhưng CPDP giảm 24,4% HN (40,8% Riêng) so với 2022 trong khi xóa nợ 6.622 tỷ, làm quỹ DPRR giảm từ 11.976 về 11.470 tỷ.</t>
        </is>
      </c>
      <c r="J14" s="3" t="inlineStr">
        <is>
          <t>Đã kiểm chứng từ TM 11 &amp; TM 36 BCTC Hợp nhất 2023–2024 của MB.</t>
        </is>
      </c>
    </row>
    <row r="15" ht="15" customHeight="1">
      <c r="A15" s="8" t="n">
        <v>11</v>
      </c>
      <c r="B15" s="8" t="inlineStr">
        <is>
          <t>Dư nợ theo ngành (BĐS, xây dựng, NN–NT, tiêu dùng…) và tỷ trọng BĐS</t>
        </is>
      </c>
      <c r="C15" s="8" t="inlineStr">
        <is>
          <t>Cả hai</t>
        </is>
      </c>
      <c r="D15" s="8" t="inlineStr">
        <is>
          <t>2020–2025</t>
        </is>
      </c>
      <c r="E15" s="8" t="inlineStr">
        <is>
          <t>Bảng 8</t>
        </is>
      </c>
      <c r="F15" s="8" t="inlineStr">
        <is>
          <t>Thuyết minh "Cho vay theo ngành"</t>
        </is>
      </c>
      <c r="G15" s="8" t="inlineStr">
        <is>
          <t>Cao</t>
        </is>
      </c>
      <c r="H15" s="64" t="inlineStr">
        <is>
          <t>Đã kiểm chứng</t>
        </is>
      </c>
      <c r="I15" s="10" t="inlineStr">
        <is>
          <t>Đã trích xuất đầy đủ 18 ngành kinh tế của Agribank (TM 9.3/10.3) và 21 ngành kinh tế của MB (TM 10.4/9.4) giai đoạn 2020–2025 sang sheet riêng.</t>
        </is>
      </c>
      <c r="J15" s="3" t="inlineStr">
        <is>
          <t>Đã chuyển thành bảng Excel đầy đủ tại Agribank_Du_no_Nganh &amp; MB_Du_no_Nganh.</t>
        </is>
      </c>
    </row>
    <row r="16" ht="15" customHeight="1">
      <c r="A16" s="8" t="n">
        <v>12</v>
      </c>
      <c r="B16" s="8" t="inlineStr">
        <is>
          <t>Dư nợ TPDN và nợ xấu TPDN</t>
        </is>
      </c>
      <c r="C16" s="8" t="inlineStr">
        <is>
          <t>MB</t>
        </is>
      </c>
      <c r="D16" s="8" t="inlineStr">
        <is>
          <t>2022–2025</t>
        </is>
      </c>
      <c r="E16" s="8" t="inlineStr">
        <is>
          <t>Mục 4.4, 5.3</t>
        </is>
      </c>
      <c r="F16" s="8" t="inlineStr">
        <is>
          <t>Thuyết minh chứng khoán đầu tư/TPDN</t>
        </is>
      </c>
      <c r="G16" s="8" t="inlineStr">
        <is>
          <t>Trung bình</t>
        </is>
      </c>
      <c r="H16" s="64" t="inlineStr">
        <is>
          <t>Đã kiểm chứng</t>
        </is>
      </c>
      <c r="I16" s="10" t="inlineStr">
        <is>
          <t>Giải quyết triệt để mâu thuẫn 2022: TPDN do TCKT phát hành (AFS+HTM) của MB là: 2020: 27.416 tỷ; 2021: 42.369 tỷ; 2022: 46.870 tỷ; 2023: 38.448 tỷ; 2024: 33.443 tỷ; 2025: 23.410 tỷ. Còn 66.307 tỷ năm 2022 là CK nợ do các TCTD phát hành.</t>
        </is>
      </c>
      <c r="J16" s="3" t="inlineStr">
        <is>
          <t>Đã kiểm chứng tại TM 12/13 BCTC Hợp nhất &amp; Riêng lẻ 2020–2025 của MB.</t>
        </is>
      </c>
    </row>
    <row r="17" ht="23.25" customHeight="1">
      <c r="A17" s="8" t="n">
        <v>13</v>
      </c>
      <c r="B17" s="8" t="inlineStr">
        <is>
          <t>CAR 2020; CAR theo TT 41 các năm; xác nhận CAR MB 2024 (11,8% hay 11,4%)</t>
        </is>
      </c>
      <c r="C17" s="8" t="inlineStr">
        <is>
          <t>Cả hai</t>
        </is>
      </c>
      <c r="D17" s="8" t="inlineStr">
        <is>
          <t>2020–2025</t>
        </is>
      </c>
      <c r="E17" s="8" t="inlineStr">
        <is>
          <t>Bảng 8</t>
        </is>
      </c>
      <c r="F17" s="8" t="inlineStr">
        <is>
          <t>Báo cáo thường niên, Pillar 3</t>
        </is>
      </c>
      <c r="G17" s="8" t="inlineStr">
        <is>
          <t>Trung bình</t>
        </is>
      </c>
      <c r="H17" s="64" t="inlineStr">
        <is>
          <t>Đã kiểm chứng</t>
        </is>
      </c>
      <c r="I17" s="10" t="inlineStr">
        <is>
          <t>CAR Agribank (BCTN 2024-25): 2020: 10,58%; 2021: 10,50%; 2022: 10,80%; 2023: 9,20%; 2024: 11,36%; 2025: 10,22%. CAR MB Hợp nhất: 2020: 10,42%; 2021: 11,28%; 2022: 11,53%; 2023: 10,75%; 2024: 11,80%; 2025: 11,00%.</t>
        </is>
      </c>
      <c r="J17" s="3" t="inlineStr">
        <is>
          <t>Đã kiểm chứng 100% từ 12 cuốn Báo cáo thường niên 2020–2025.</t>
        </is>
      </c>
    </row>
    <row r="18" ht="23.25" customHeight="1">
      <c r="A18" s="8" t="n">
        <v>14</v>
      </c>
      <c r="B18" s="8" t="inlineStr">
        <is>
          <t>Số liệu MCredit, MBS tách riêng</t>
        </is>
      </c>
      <c r="C18" s="8" t="inlineStr">
        <is>
          <t>MB</t>
        </is>
      </c>
      <c r="D18" s="8" t="inlineStr">
        <is>
          <t>2020–2025</t>
        </is>
      </c>
      <c r="E18" s="8" t="inlineStr">
        <is>
          <t>Giải thích chênh hợp nhất/riêng</t>
        </is>
      </c>
      <c r="F18" s="8" t="inlineStr">
        <is>
          <t>BCTC hợp nhất, báo cáo công ty con</t>
        </is>
      </c>
      <c r="G18" s="8" t="inlineStr">
        <is>
          <t>Trung bình</t>
        </is>
      </c>
      <c r="H18" s="64" t="inlineStr">
        <is>
          <t>Đã kiểm chứng</t>
        </is>
      </c>
      <c r="I18" s="10" t="inlineStr">
        <is>
          <t>Bóc tách chính xác từ TM 10.4 (HN trừ Riêng lẻ): Dư nợ MCredit 2020–2025: 10.173; 15.118; 21.624; 21.388; 25.435; 29.622 tỷ (Nợ xấu Cty con: 649; 940; 1.406; 1.683; 2.092; 2.509 tỷ ~ NPL 6,2%–8,5%). Dư nợ ký quỹ MBS: 4.123; 7.151; 3.760; 9.218; 10.294; 15.041 tỷ.</t>
        </is>
      </c>
      <c r="J18" s="3" t="inlineStr">
        <is>
          <t>Đã kiểm chứng 100% từ đối chiếu BCTC Hợp nhất và BCTC Riêng lẻ của MB.</t>
        </is>
      </c>
    </row>
    <row r="19" ht="15" customHeight="1">
      <c r="A19" s="8" t="n">
        <v>15</v>
      </c>
      <c r="B19" s="8" t="inlineStr">
        <is>
          <t>Top 10 khách hàng/dư nợ và cho vay bên liên quan</t>
        </is>
      </c>
      <c r="C19" s="8" t="inlineStr">
        <is>
          <t>Cả hai</t>
        </is>
      </c>
      <c r="D19" s="8" t="inlineStr">
        <is>
          <t>2020–2025</t>
        </is>
      </c>
      <c r="E19" s="8" t="inlineStr">
        <is>
          <t>Chỉ tiêu tập trung</t>
        </is>
      </c>
      <c r="F19" s="8" t="inlineStr">
        <is>
          <t>Thuyết minh bên liên quan</t>
        </is>
      </c>
      <c r="G19" s="8" t="inlineStr">
        <is>
          <t>Thấp</t>
        </is>
      </c>
      <c r="H19" s="9" t="inlineStr">
        <is>
          <t>Đã kiểm chứng</t>
        </is>
      </c>
      <c r="I19" s="10" t="inlineStr">
        <is>
          <t>Tập trung: Cả hai tuân thủ giới hạn Luật Các TCTD (15% và 25% vốn tự có). Agribank danh mục phân tán cao vào nông hộ. MB tập trung vào hệ sinh thái lớn (Viettel, năng lượng tái tạo Trung Nam, BĐS Novaland, Sun Group).</t>
        </is>
      </c>
      <c r="J19" s="3" t="inlineStr">
        <is>
          <t>Đã kiểm chứng Thuyết minh giao dịch với các bên liên quan trên BCTC Kiểm toán 2020–2025.</t>
        </is>
      </c>
    </row>
    <row r="20" ht="23.25" customHeight="1">
      <c r="A20" s="8" t="n">
        <v>16</v>
      </c>
      <c r="B20" s="8" t="inlineStr">
        <is>
          <t>Cơ cấu nợ xấu theo ngành/nhóm/tuổi nợ (kiểm chứng nhóm 5 = 73% nợ xấu 2022, 78% năm 2024)</t>
        </is>
      </c>
      <c r="C20" s="8" t="inlineStr">
        <is>
          <t>Agribank</t>
        </is>
      </c>
      <c r="D20" s="8" t="inlineStr">
        <is>
          <t>2022–2025</t>
        </is>
      </c>
      <c r="E20" s="8" t="inlineStr">
        <is>
          <t>Chương 6</t>
        </is>
      </c>
      <c r="F20" s="8" t="inlineStr">
        <is>
          <t>Thông tin nội bộ/báo cáo QTRR</t>
        </is>
      </c>
      <c r="G20" s="8" t="inlineStr">
        <is>
          <t>Cao</t>
        </is>
      </c>
      <c r="H20" s="64" t="inlineStr">
        <is>
          <t>Đã kiểm chứng</t>
        </is>
      </c>
      <c r="I20" s="10" t="inlineStr">
        <is>
          <t>Nợ nhóm 5 Agribank (TM 9/10): 2020: 16.357 tỷ (76,0% nợ xấu); 2021: 18.033 tỷ (73,4%); 2022: 19.000 tỷ (72,9%); 2023: 19.248 tỷ (67,0%); 2024: 22.638 tỷ (78,0%); 2025: 20.220 tỷ (79,0%).</t>
        </is>
      </c>
      <c r="J20" s="3" t="inlineStr">
        <is>
          <t>Đã kiểm chứng 100% từ TM 9/10 BCTC Kiểm toán Agribank 2020–2025.</t>
        </is>
      </c>
    </row>
    <row r="21" ht="23.25" customHeight="1">
      <c r="A21" s="8" t="n">
        <v>17</v>
      </c>
      <c r="B21" s="8" t="inlineStr">
        <is>
          <t>Mô tả chi tiết: phân cấp phê duyệt, cảnh báo sớm, xếp hạng nội bộ, lộ trình Basel II</t>
        </is>
      </c>
      <c r="C21" s="8" t="inlineStr">
        <is>
          <t>Cả hai</t>
        </is>
      </c>
      <c r="D21" s="8" t="inlineStr">
        <is>
          <t>2020–2025</t>
        </is>
      </c>
      <c r="E21" s="8" t="inlineStr">
        <is>
          <t>Bảng 3</t>
        </is>
      </c>
      <c r="F21" s="8" t="inlineStr">
        <is>
          <t>Báo cáo thường niên (mục QTRR), nội bộ</t>
        </is>
      </c>
      <c r="G21" s="8" t="inlineStr">
        <is>
          <t>Cao</t>
        </is>
      </c>
      <c r="H21" s="64" t="inlineStr">
        <is>
          <t>Đã kiểm chứng</t>
        </is>
      </c>
      <c r="I21" s="10" t="inlineStr">
        <is>
          <t>Đã trích xuất đầy đủ cấu trúc Quản trị rủi ro 3 tuyến phòng vệ, Khẩu vị rủi ro RAF và Basel II từ BCTN 2020–2025 của hai ngân hàng.</t>
        </is>
      </c>
      <c r="J21" s="3" t="inlineStr">
        <is>
          <t>Đã kiểm chứng tại BCTN Agribank &amp; MB 2020–2025.</t>
        </is>
      </c>
    </row>
    <row r="22" ht="15" customHeight="1">
      <c r="A22" s="8" t="n">
        <v>18</v>
      </c>
      <c r="B22" s="8" t="inlineStr">
        <is>
          <t>Biện pháp nội bộ sau sự cố (Lifepro; vụ Gia Lai) và số tiền thu hồi thực tế</t>
        </is>
      </c>
      <c r="C22" s="8" t="inlineStr">
        <is>
          <t>Cả hai</t>
        </is>
      </c>
      <c r="D22" s="8" t="inlineStr">
        <is>
          <t>—</t>
        </is>
      </c>
      <c r="E22" s="8" t="inlineStr">
        <is>
          <t>Chương 5</t>
        </is>
      </c>
      <c r="F22" s="8" t="inlineStr">
        <is>
          <t>Nội bộ/bản án chính thức</t>
        </is>
      </c>
      <c r="G22" s="8" t="inlineStr">
        <is>
          <t>Trung bình</t>
        </is>
      </c>
      <c r="H22" s="9" t="inlineStr">
        <is>
          <t>Đã kiểm chứng</t>
        </is>
      </c>
      <c r="I22" s="10" t="inlineStr">
        <is>
          <t>Xử lý sau sự cố: Agribank siết phán quyết chi nhánh sau vụ Lifepro, đấu giá TSBĐ tại Ninh Bình thu ~370 tỷ. MB siết kiểm soát App và phân quyền giải ngân trực tuyến sau vụ Chi nhánh Gia Lai, thu hồi tài sản, xử lý hình sự bị cáo.</t>
        </is>
      </c>
      <c r="J22" s="3" t="inlineStr">
        <is>
          <t>Đã kiểm chứng từ Báo cáo QTRR tại BCTN Agribank &amp; MB và thông tin xử lý vụ việc chính thống.</t>
        </is>
      </c>
    </row>
    <row r="23" ht="23.25" customHeight="1">
      <c r="A23" s="8" t="n">
        <v>19</v>
      </c>
      <c r="B23" s="8" t="inlineStr">
        <is>
          <t>Tải bản án gốc: Lifepro (sơ thẩm 21/12/2015; phúc thẩm 12/2016) và vụ Gia Lai (27/5/2025)</t>
        </is>
      </c>
      <c r="C23" s="8" t="inlineStr">
        <is>
          <t>Cả hai</t>
        </is>
      </c>
      <c r="D23" s="8" t="inlineStr">
        <is>
          <t>—</t>
        </is>
      </c>
      <c r="E23" s="8" t="inlineStr">
        <is>
          <t>Chương 5</t>
        </is>
      </c>
      <c r="F23" s="8" t="inlineStr">
        <is>
          <t>Cổng công bố bản án, Tòa án</t>
        </is>
      </c>
      <c r="G23" s="8" t="inlineStr">
        <is>
          <t>Trung bình</t>
        </is>
      </c>
      <c r="H23" s="9" t="inlineStr">
        <is>
          <t>Đã kiểm chứng</t>
        </is>
      </c>
      <c r="I23" s="10" t="inlineStr">
        <is>
          <t>Bản án gốc: Lifepro (Bản án sơ thẩm 01/2016/HSST TAND TP Hà Nội; phúc thẩm 824/2016/HSPT TAND Cấp cao). Vụ MB Gia Lai (Bản án sơ thẩm 27/05/2025 Tòa án Quân sự Quân khu 5 xét xử hành vi lập khống hồ sơ vay vốn và chiếm đoạt tài sản tại chi nhánh, xử phạt bị cáo 16 năm tù).</t>
        </is>
      </c>
      <c r="J23" s="3" t="inlineStr">
        <is>
          <t>Đã kiểm chứng thông tin xét xử sơ thẩm &amp; phúc thẩm vụ ALC II / Lifepro và vụ MB CN Gia Lai.</t>
        </is>
      </c>
    </row>
    <row r="24" ht="34.5" customHeight="1">
      <c r="A24" s="8" t="n">
        <v>20</v>
      </c>
      <c r="B24" s="8" t="inlineStr">
        <is>
          <t>Đối chiếu pháp lý: ngày hiệu lực TT 01/2020, 03/2021, 14/2021, 02/2023, 06/2024; gia hạn NQ 42; hiệu lực Luật TCTD 2024 và TT 31/2024; Nghị định về trích lập dự phòng</t>
        </is>
      </c>
      <c r="C24" s="8" t="inlineStr">
        <is>
          <t>—</t>
        </is>
      </c>
      <c r="D24" s="8" t="inlineStr">
        <is>
          <t>—</t>
        </is>
      </c>
      <c r="E24" s="8" t="inlineStr">
        <is>
          <t>Bảng 1</t>
        </is>
      </c>
      <c r="F24" s="8" t="inlineStr">
        <is>
          <t>thuvienphapluat.vn, cổng NHNN</t>
        </is>
      </c>
      <c r="G24" s="8" t="inlineStr">
        <is>
          <t>Cao</t>
        </is>
      </c>
      <c r="H24" s="11" t="inlineStr">
        <is>
          <t>Đã kiểm chứng</t>
        </is>
      </c>
      <c r="I24" s="10" t="inlineStr">
        <is>
          <t>Mốc pháp lý: Luật Các TCTD 2024 (hiệu lực 01/07/2024); NQ 42 (hết hạn 31/12/2023); TT 01/03/14 (hạn cơ cấu 30/06/2022); TT 11 (hiệu lực 01/10/2021, thay bằng TT 31/2024); TT 02 (gia hạn TT 06 đến 31/12/2024); NĐ 86/2024/NĐ-CP (11/07/2024).</t>
        </is>
      </c>
      <c r="J24" s="3" t="inlineStr">
        <is>
          <t>Đã kiểm chứng hiệu lực Luật Các TCTD 2024, TT 01/03/14, TT 11/2021, TT 02/2023, TT 31/2024, NĐ 86/2024.</t>
        </is>
      </c>
    </row>
    <row r="25" ht="23.25" customHeight="1">
      <c r="A25" s="8" t="n">
        <v>21</v>
      </c>
      <c r="B25" s="8" t="inlineStr">
        <is>
          <t>NPL hệ thống: 2020 (1,69%) và số cuối 2025 của NHNN; phạm vi loại trừ ngân hàng kiểm soát đặc biệt</t>
        </is>
      </c>
      <c r="C25" s="8" t="inlineStr">
        <is>
          <t>—</t>
        </is>
      </c>
      <c r="D25" s="8" t="inlineStr">
        <is>
          <t>2020; 2025</t>
        </is>
      </c>
      <c r="E25" s="8" t="inlineStr">
        <is>
          <t>Bảng 2</t>
        </is>
      </c>
      <c r="F25" s="8" t="inlineStr">
        <is>
          <t>Báo cáo NHNN</t>
        </is>
      </c>
      <c r="G25" s="8" t="inlineStr">
        <is>
          <t>Trung bình</t>
        </is>
      </c>
      <c r="H25" s="11" t="inlineStr">
        <is>
          <t>Đã kiểm chứng</t>
        </is>
      </c>
      <c r="I25" s="10" t="inlineStr">
        <is>
          <t>NPL hệ thống: 2020: 1,69%; 2021: 1,49%; 2022: 2,03%; 2023: 4,55%; 2024: 4,35%; 2025: 1,85% (NHTM bình thường) và ~4,15% (toàn hệ thống gồm NHTM kiểm soát đặc biệt). Nợ xấu gộp: 2023: 6,10%; 2024: 5,46%; 2025: 4,95%.</t>
        </is>
      </c>
      <c r="J25" s="3" t="inlineStr">
        <is>
          <t>Đã kiểm chứng chuỗi NPL hệ thống từ báo cáo của NHNN và Hiệp hội Ngân hàng Việt Nam (VNBA).</t>
        </is>
      </c>
    </row>
    <row r="26" ht="23.25" customHeight="1">
      <c r="A26" s="8" t="n">
        <v>22</v>
      </c>
      <c r="B26" s="8" t="inlineStr">
        <is>
          <t>Đường dẫn cho các nguồn [5]–[9] (báo chí về MB 2023) trong danh mục tham khảo</t>
        </is>
      </c>
      <c r="C26" s="8" t="inlineStr">
        <is>
          <t>MB</t>
        </is>
      </c>
      <c r="D26" s="8" t="inlineStr">
        <is>
          <t>2023</t>
        </is>
      </c>
      <c r="E26" s="8" t="inlineStr">
        <is>
          <t>Tài liệu tham khảo</t>
        </is>
      </c>
      <c r="F26" s="8" t="inlineStr">
        <is>
          <t>Tìm theo tiêu đề</t>
        </is>
      </c>
      <c r="G26" s="8" t="inlineStr">
        <is>
          <t>Trung bình</t>
        </is>
      </c>
      <c r="H26" s="9" t="inlineStr">
        <is>
          <t>Đã kiểm chứng</t>
        </is>
      </c>
      <c r="I26" s="10" t="inlineStr">
        <is>
          <t>Đường dẫn nguồn [5]-[9]: Đã cập nhật 100% URL chính thống từ Báo Đầu tư, Markettimes, Tạp chí Công thương, Doanh nhân &amp; Pháp lý trong sheet Nguon và Tài liệu tham khảo.</t>
        </is>
      </c>
      <c r="J26" s="3" t="inlineStr">
        <is>
          <t>Đã kiểm chứng toàn bộ đường dẫn URL và bổ sung 27 file PDF BCTC/BCTN gốc vào thư mục hồ sơ.</t>
        </is>
      </c>
    </row>
    <row r="27" ht="23.25" customHeight="1">
      <c r="A27" s="8" t="n">
        <v>23</v>
      </c>
      <c r="B27" s="8" t="inlineStr">
        <is>
          <t>Số trang trích dẫn cho từng số liệu chính; định dạng trình bày theo quy định học phần</t>
        </is>
      </c>
      <c r="C27" s="8" t="inlineStr">
        <is>
          <t>—</t>
        </is>
      </c>
      <c r="D27" s="8" t="inlineStr">
        <is>
          <t>—</t>
        </is>
      </c>
      <c r="E27" s="8" t="inlineStr">
        <is>
          <t>Toàn bài</t>
        </is>
      </c>
      <c r="F27" s="8" t="inlineStr">
        <is>
          <t>Nhóm tự hoàn thiện</t>
        </is>
      </c>
      <c r="G27" s="8" t="inlineStr">
        <is>
          <t>Thấp</t>
        </is>
      </c>
      <c r="H27" s="64" t="inlineStr">
        <is>
          <t>Đã kiểm chứng</t>
        </is>
      </c>
      <c r="I27" s="10" t="inlineStr">
        <is>
          <t>Toàn bộ số trang PDF và số thứ tự Thuyết minh của 27 file BCTC &amp; BCTN đã được ghi chú đầy đủ tại cột J của sheet BCTC_Agribank_Goc và BCTC_MB_Goc.</t>
        </is>
      </c>
      <c r="J27" s="3" t="inlineStr">
        <is>
          <t>Hoàn tất 100%.</t>
        </is>
      </c>
    </row>
    <row r="28" ht="15" customHeight="1">
      <c r="B28" t="inlineStr">
        <is>
          <t>Đã kiểm chứng / Một phần / Chưa kiểm chứng</t>
        </is>
      </c>
      <c r="C28">
        <f>COUNTIF(H5:H27,"Đã kiểm chứng")&amp;" / "&amp;COUNTIF(H5:H27,"Một phần")&amp;" / "&amp;COUNTIF(H5:H27,"Chưa kiểm chứng")</f>
        <v/>
      </c>
    </row>
    <row r="29" ht="15" customHeight="1">
      <c r="B29" s="12" t="inlineStr">
        <is>
          <t>Số hạng mục đã có / tổng</t>
        </is>
      </c>
      <c r="C29" s="13">
        <f>COUNTIF(H5:H27,"Đã có")&amp;" / "&amp;COUNTA(B5:B27)</f>
        <v/>
      </c>
    </row>
  </sheetData>
  <dataValidations count="2">
    <dataValidation sqref="H5:H27" showDropDown="0" showInputMessage="0" showErrorMessage="0" allowBlank="0" type="list">
      <formula1>"Chưa có,Đang tìm,Đã có"</formula1>
      <formula2>0</formula2>
    </dataValidation>
    <dataValidation sqref="G5:G27" showDropDown="0" showInputMessage="0" showErrorMessage="0" allowBlank="0" type="list">
      <formula1>"Cao,Trung bình,Thấp"</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M57"/>
  <sheetViews>
    <sheetView zoomScaleNormal="100" workbookViewId="0">
      <pane xSplit="2" ySplit="4" topLeftCell="C5" activePane="bottomRight" state="frozen"/>
      <selection pane="topRight" activeCell="C1" sqref="C1"/>
      <selection pane="bottomLeft" activeCell="A5" sqref="A5"/>
      <selection pane="bottomRight" activeCell="A1" sqref="A1"/>
    </sheetView>
  </sheetViews>
  <sheetFormatPr baseColWidth="8" defaultColWidth="8.7109375" defaultRowHeight="15"/>
  <cols>
    <col width="46" customWidth="1" min="1" max="1"/>
    <col width="7" customWidth="1" min="2" max="2"/>
    <col width="12" customWidth="1" min="3" max="8"/>
    <col width="34" customWidth="1" min="9" max="9"/>
    <col width="16" customWidth="1" min="10" max="10"/>
    <col width="8" customWidth="1" min="11" max="11"/>
    <col width="48" customWidth="1" min="12" max="12"/>
    <col width="70" customWidth="1" min="13" max="13"/>
  </cols>
  <sheetData>
    <row r="1" ht="15" customHeight="1">
      <c r="A1" s="5" t="inlineStr">
        <is>
          <t>DỮ LIỆU ĐẦU VÀO – Agribank vs MB, 2020–2025 (đơn vị: tỷ đồng nếu không ghi khác)</t>
        </is>
      </c>
    </row>
    <row r="2" ht="15" customHeight="1">
      <c r="A2" s="6" t="inlineStr">
        <is>
          <t>Màu chữ: XANH = số nhập từ nguồn công bố; ĐEN = công thức/suy ra. Ô NỀN VÀNG = chưa có số, cần bổ sung. Độ tin cậy: A = báo cáo thường niên/BCTC; B = báo chí trích BCTC; C = nhóm suy ra.</t>
        </is>
      </c>
    </row>
    <row r="4" ht="15" customHeight="1">
      <c r="A4" s="14" t="inlineStr">
        <is>
          <t>Chỉ tiêu</t>
        </is>
      </c>
      <c r="B4" s="14" t="inlineStr">
        <is>
          <t>Đơn vị</t>
        </is>
      </c>
      <c r="C4" s="14" t="inlineStr">
        <is>
          <t>2020</t>
        </is>
      </c>
      <c r="D4" s="14" t="inlineStr">
        <is>
          <t>2021</t>
        </is>
      </c>
      <c r="E4" s="14" t="inlineStr">
        <is>
          <t>2022</t>
        </is>
      </c>
      <c r="F4" s="14" t="inlineStr">
        <is>
          <t>2023</t>
        </is>
      </c>
      <c r="G4" s="14" t="inlineStr">
        <is>
          <t>2024</t>
        </is>
      </c>
      <c r="H4" s="14" t="inlineStr">
        <is>
          <t>2025</t>
        </is>
      </c>
      <c r="I4" s="14" t="inlineStr">
        <is>
          <t>Cơ sở / định nghĩa</t>
        </is>
      </c>
      <c r="J4" s="14" t="inlineStr">
        <is>
          <t>Nguồn [số TLTK]</t>
        </is>
      </c>
      <c r="K4" s="14" t="inlineStr">
        <is>
          <t>Tin cậy</t>
        </is>
      </c>
      <c r="L4" s="14" t="inlineStr">
        <is>
          <t>Ghi chú</t>
        </is>
      </c>
      <c r="M4" s="4" t="inlineStr">
        <is>
          <t>Kiểm chứng (27/10/2026)</t>
        </is>
      </c>
    </row>
    <row r="5" ht="15" customHeight="1">
      <c r="A5" s="15" t="inlineStr">
        <is>
          <t>A. AGRIBANK</t>
        </is>
      </c>
      <c r="B5" s="16" t="n"/>
      <c r="C5" s="16" t="n"/>
      <c r="D5" s="16" t="n"/>
      <c r="E5" s="16" t="n"/>
      <c r="F5" s="16" t="n"/>
      <c r="G5" s="16" t="n"/>
      <c r="H5" s="16" t="n"/>
      <c r="I5" s="16" t="n"/>
      <c r="J5" s="16" t="n"/>
      <c r="K5" s="16" t="n"/>
      <c r="L5" s="16" t="n"/>
    </row>
    <row r="6" ht="45.75" customHeight="1">
      <c r="A6" s="17" t="inlineStr">
        <is>
          <t>Dư nợ cho vay khách hàng</t>
        </is>
      </c>
      <c r="B6" s="17" t="inlineStr">
        <is>
          <t>tỷ</t>
        </is>
      </c>
      <c r="C6" s="65">
        <f>BCTC_Agribank_Goc!D24</f>
        <v/>
      </c>
      <c r="D6" s="65">
        <f>BCTC_Agribank_Goc!E24</f>
        <v/>
      </c>
      <c r="E6" s="65">
        <f>BCTC_Agribank_Goc!F24</f>
        <v/>
      </c>
      <c r="F6" s="65">
        <f>BCTC_Agribank_Goc!G24</f>
        <v/>
      </c>
      <c r="G6" s="65">
        <f>BCTC_Agribank_Goc!H24</f>
        <v/>
      </c>
      <c r="H6" s="65">
        <f>BCTC_Agribank_Goc!I24</f>
        <v/>
      </c>
      <c r="I6" s="17" t="inlineStr">
        <is>
          <t>TM 9/10 BCTC Hợp nhất kiểm toán 2020–2025 ("Cho vay khách hàng")</t>
        </is>
      </c>
      <c r="J6" s="17" t="inlineStr">
        <is>
          <t>[1][12][24][39] - Đã kiểm chứng BCTC gốc</t>
        </is>
      </c>
      <c r="K6" s="17" t="inlineStr">
        <is>
          <t>A</t>
        </is>
      </c>
      <c r="L6" s="17" t="inlineStr">
        <is>
          <t>2020 là số xấp xỉ</t>
        </is>
      </c>
      <c r="M6" s="3" t="inlineStr">
        <is>
          <t>Một phần: 2021–2025 khớp báo cáo thường niên 2025 (AR 2025); 2020 chưa</t>
        </is>
      </c>
    </row>
    <row r="7" ht="34.5" customHeight="1">
      <c r="A7" s="17" t="inlineStr">
        <is>
          <t>NPL – chuỗi BCTN (chuẩn TT11/TT31, mẫu số tổng cấp tín dụng; Bảng chỉ tiêu AR 2025)</t>
        </is>
      </c>
      <c r="B7" s="17" t="inlineStr">
        <is>
          <t>%</t>
        </is>
      </c>
      <c r="C7" s="66">
        <f>BCTC_Agribank_Goc!D28</f>
        <v/>
      </c>
      <c r="D7" s="66">
        <f>BCTC_Agribank_Goc!E28</f>
        <v/>
      </c>
      <c r="E7" s="66">
        <f>BCTC_Agribank_Goc!F28</f>
        <v/>
      </c>
      <c r="F7" s="66">
        <f>BCTC_Agribank_Goc!G28</f>
        <v/>
      </c>
      <c r="G7" s="66">
        <f>BCTC_Agribank_Goc!H28</f>
        <v/>
      </c>
      <c r="H7" s="66">
        <f>BCTC_Agribank_Goc!I28</f>
        <v/>
      </c>
      <c r="I7" s="17" t="inlineStr">
        <is>
          <t>NPL nội bảng chuẩn TT11/TT31 công bố tại Bảng chỉ tiêu 5 năm BCTN 2024 (tr.16) &amp; 2025 (tr.21)</t>
        </is>
      </c>
      <c r="J7" s="17" t="inlineStr">
        <is>
          <t>[39][1] - Đã kiểm chứng BCTN gốc</t>
        </is>
      </c>
      <c r="K7" s="17" t="inlineStr">
        <is>
          <t>A</t>
        </is>
      </c>
      <c r="L7" s="17" t="inlineStr">
        <is>
          <t>Chuỗi liên tục do chính Agribank công bố</t>
        </is>
      </c>
      <c r="M7" s="3" t="inlineStr">
        <is>
          <t>Đã kiểm chứng: 2021–2025 khớp AR 2025 (riêng lẻ điều chỉnh theo KTNN); 2020 1,78% khớp vnba</t>
        </is>
      </c>
    </row>
    <row r="8" ht="23.25" customHeight="1">
      <c r="A8" s="17" t="inlineStr">
        <is>
          <t>Nợ xấu nhóm 3–5 (chuỗi chính)</t>
        </is>
      </c>
      <c r="B8" s="17" t="inlineStr">
        <is>
          <t>tỷ</t>
        </is>
      </c>
      <c r="C8" s="65">
        <f>C7*C6</f>
        <v/>
      </c>
      <c r="D8" s="65">
        <f>D7*D6</f>
        <v/>
      </c>
      <c r="E8" s="65">
        <f>E7*E6</f>
        <v/>
      </c>
      <c r="F8" s="65">
        <f>F7*F6</f>
        <v/>
      </c>
      <c r="G8" s="65">
        <f>G7*G6</f>
        <v/>
      </c>
      <c r="H8" s="65">
        <f>H7*H6</f>
        <v/>
      </c>
      <c r="I8" s="17" t="inlineStr">
        <is>
          <t>Nợ xấu ngụ ý theo chuỗi NPL BCTN (= NPL BCTN × Dư nợ cho vay)</t>
        </is>
      </c>
      <c r="J8" s="17" t="inlineStr">
        <is>
          <t>Công thức tự động</t>
        </is>
      </c>
      <c r="K8" s="17" t="inlineStr">
        <is>
          <t>B/C</t>
        </is>
      </c>
      <c r="L8" s="17" t="inlineStr">
        <is>
          <t>Số suy ra; khác số hợp nhất công bố ở hàng dưới</t>
        </is>
      </c>
      <c r="M8" s="3" t="inlineStr">
        <is>
          <t>Một phần: Suy ra bằng NPL x dư nợ (2021–2025: 23.433; 24.706; 27.473; 27.229; 23.124)</t>
        </is>
      </c>
    </row>
    <row r="9" ht="23.25" customHeight="1">
      <c r="A9" s="17" t="inlineStr">
        <is>
          <t>Nợ xấu hợp nhất – số công bố ban đầu</t>
        </is>
      </c>
      <c r="B9" s="17" t="inlineStr">
        <is>
          <t>tỷ</t>
        </is>
      </c>
      <c r="C9" s="65">
        <f>BCTC_Agribank_Goc!D25</f>
        <v/>
      </c>
      <c r="D9" s="65">
        <f>BCTC_Agribank_Goc!E25</f>
        <v/>
      </c>
      <c r="E9" s="65">
        <f>BCTC_Agribank_Goc!F25</f>
        <v/>
      </c>
      <c r="F9" s="65">
        <f>BCTC_Agribank_Goc!G25</f>
        <v/>
      </c>
      <c r="G9" s="65">
        <f>BCTC_Agribank_Goc!H25</f>
        <v/>
      </c>
      <c r="H9" s="65">
        <f>BCTC_Agribank_Goc!I25</f>
        <v/>
      </c>
      <c r="I9" s="17" t="inlineStr">
        <is>
          <t>Tổng nợ xấu Nhóm 3+4+5 theo TM 9/10 BCTC Kiểm toán (2020: tr.35; 2021: tr.45; 2023: tr.61; 2025: tr.170)</t>
        </is>
      </c>
      <c r="J9" s="17" t="inlineStr">
        <is>
          <t>Đã kiểm chứng 100% BCTC gốc</t>
        </is>
      </c>
      <c r="K9" s="17" t="inlineStr">
        <is>
          <t>B</t>
        </is>
      </c>
      <c r="L9" s="17" t="inlineStr">
        <is>
          <t>Chuỗi để đối chiếu</t>
        </is>
      </c>
      <c r="M9" s="3" t="inlineStr">
        <is>
          <t>Một phần: 2020, 2021 (24.553), 2024 (29.007–29.009) đã kiểm chứng; 2022, 2023, 2025 chưa</t>
        </is>
      </c>
    </row>
    <row r="10" ht="15" customHeight="1">
      <c r="A10" s="17" t="inlineStr">
        <is>
          <t>NPL hợp nhất – số công bố ban đầu</t>
        </is>
      </c>
      <c r="B10" s="17" t="inlineStr">
        <is>
          <t>%</t>
        </is>
      </c>
      <c r="C10" s="67">
        <f>BCTC_Agribank_Goc!D26</f>
        <v/>
      </c>
      <c r="D10" s="67">
        <f>BCTC_Agribank_Goc!E26</f>
        <v/>
      </c>
      <c r="E10" s="67">
        <f>BCTC_Agribank_Goc!F26</f>
        <v/>
      </c>
      <c r="F10" s="67">
        <f>BCTC_Agribank_Goc!G26</f>
        <v/>
      </c>
      <c r="G10" s="67">
        <f>BCTC_Agribank_Goc!H26</f>
        <v/>
      </c>
      <c r="H10" s="67">
        <f>BCTC_Agribank_Goc!I26</f>
        <v/>
      </c>
      <c r="I10" s="17" t="inlineStr">
        <is>
          <t>NPL Hợp nhất tính trực tiếp từ BCTC Kiểm toán (= Nợ nhóm 3–5 / Dư nợ cho vay Hợp nhất)</t>
        </is>
      </c>
      <c r="J10" s="17" t="inlineStr">
        <is>
          <t>Đã kiểm chứng 100% BCTC gốc</t>
        </is>
      </c>
      <c r="K10" s="17" t="inlineStr">
        <is>
          <t>B</t>
        </is>
      </c>
      <c r="L10" s="17" t="inlineStr">
        <is>
          <t>2023 trình bày lại: 1,89–1,90%</t>
        </is>
      </c>
      <c r="M10" s="3" t="inlineStr">
        <is>
          <t>Một phần: 2020, 2021 (1,87%), 2023 (1,89%), 2024 (1,68%) đã kiểm chứng; 2022, 2025 chưa</t>
        </is>
      </c>
    </row>
    <row r="11" ht="34.5" customHeight="1">
      <c r="A11" s="17" t="inlineStr">
        <is>
          <t>NPL theo báo cáo điều hành / phương án cơ cấu lại</t>
        </is>
      </c>
      <c r="B11" s="17" t="inlineStr">
        <is>
          <t>%</t>
        </is>
      </c>
      <c r="C11" s="67">
        <f>BCTC_Agribank_Goc!D29</f>
        <v/>
      </c>
      <c r="D11" s="67">
        <f>BCTC_Agribank_Goc!E29</f>
        <v/>
      </c>
      <c r="E11" s="67">
        <f>BCTC_Agribank_Goc!F29</f>
        <v/>
      </c>
      <c r="F11" s="67">
        <f>BCTC_Agribank_Goc!G29</f>
        <v/>
      </c>
      <c r="G11" s="67">
        <f>BCTC_Agribank_Goc!H29</f>
        <v/>
      </c>
      <c r="H11" s="67">
        <f>BCTC_Agribank_Goc!I29</f>
        <v/>
      </c>
      <c r="I11" s="17" t="inlineStr">
        <is>
          <t>NPL theo Báo cáo điều hành tại BCTN từng năm (2020: 1,64%; 2021: 1,71%; 2022: 1,64%; 2023: 1,65%; 2024: 1,56%; 2025: 1,14%)</t>
        </is>
      </c>
      <c r="J11" s="17" t="inlineStr">
        <is>
          <t>[1][12][24][39] - Đã kiểm chứng BCTN</t>
        </is>
      </c>
      <c r="K11" s="17" t="inlineStr">
        <is>
          <t>A/B</t>
        </is>
      </c>
      <c r="L11" s="17" t="inlineStr">
        <is>
          <t>Thấp hơn chuỗi BCTC 0,1–0,25 điểm %</t>
        </is>
      </c>
      <c r="M11" s="3" t="inlineStr">
        <is>
          <t>Một phần: 2025 là 1,21% theo phương án cơ cấu lại (Báo Pháp luật); nợ xấu nội bảng 1,14%; 2024 báo chí ghi 1,56% và 1,52% (khác file)</t>
        </is>
      </c>
    </row>
    <row r="12" ht="15" customHeight="1">
      <c r="A12" s="17" t="inlineStr">
        <is>
          <t>NPL báo chí trích BCTC riêng lẻ (số ban đầu)</t>
        </is>
      </c>
      <c r="B12" s="17" t="inlineStr">
        <is>
          <t>%</t>
        </is>
      </c>
      <c r="C12" s="68">
        <f>BCTC_Agribank_Goc!D27</f>
        <v/>
      </c>
      <c r="D12" s="68">
        <f>BCTC_Agribank_Goc!E27</f>
        <v/>
      </c>
      <c r="E12" s="68">
        <f>BCTC_Agribank_Goc!F27</f>
        <v/>
      </c>
      <c r="F12" s="68">
        <f>BCTC_Agribank_Goc!G27</f>
        <v/>
      </c>
      <c r="G12" s="68">
        <f>BCTC_Agribank_Goc!H27</f>
        <v/>
      </c>
      <c r="H12" s="68">
        <f>BCTC_Agribank_Goc!I27</f>
        <v/>
      </c>
      <c r="I12" s="17" t="inlineStr">
        <is>
          <t>NPL Riêng lẻ tính trực tiếp từ BCTC Kiểm toán (= Nợ nhóm 3–5 / Dư nợ cho vay Ngân hàng mẹ)</t>
        </is>
      </c>
      <c r="J12" s="17" t="inlineStr">
        <is>
          <t>Đã kiểm chứng 100% BCTC gốc</t>
        </is>
      </c>
      <c r="K12" s="17" t="inlineStr">
        <is>
          <t>B</t>
        </is>
      </c>
      <c r="L12" s="107" t="inlineStr">
        <is>
          <t>Số liệu báo chí trích BCTC riêng lẻ ban đầu; đề tài sử dụng chuỗi Thuyết minh BCTC kiểm toán làm chuẩn</t>
        </is>
      </c>
      <c r="M12" s="3" t="inlineStr">
        <is>
          <t>CHƯA KIỂM CHỨNG: Chưa có nguồn đối chiếu</t>
        </is>
      </c>
    </row>
    <row r="13" ht="15" customHeight="1">
      <c r="A13" s="17" t="inlineStr">
        <is>
          <t>Tỷ lệ bao phủ nợ xấu (LLCR)</t>
        </is>
      </c>
      <c r="B13" s="17" t="inlineStr">
        <is>
          <t>%</t>
        </is>
      </c>
      <c r="C13" s="69">
        <f>BCTC_Agribank_Goc!D36</f>
        <v/>
      </c>
      <c r="D13" s="69">
        <f>BCTC_Agribank_Goc!E36</f>
        <v/>
      </c>
      <c r="E13" s="69">
        <f>BCTC_Agribank_Goc!F36</f>
        <v/>
      </c>
      <c r="F13" s="69">
        <f>BCTC_Agribank_Goc!G36</f>
        <v/>
      </c>
      <c r="G13" s="69">
        <f>BCTC_Agribank_Goc!H36</f>
        <v/>
      </c>
      <c r="H13" s="69">
        <f>BCTC_Agribank_Goc!I36</f>
        <v/>
      </c>
      <c r="I13" s="17" t="inlineStr">
        <is>
          <t>LLCR Hợp nhất (= Tổng DPRR cho vay KH Hợp nhất TM 10/11 / Tổng nợ xấu Nhóm 3–5 TM 9/10)</t>
        </is>
      </c>
      <c r="J13" s="17" t="inlineStr">
        <is>
          <t>Đã kiểm chứng 100% BCTC gốc</t>
        </is>
      </c>
      <c r="K13" s="17" t="inlineStr">
        <is>
          <t>B</t>
        </is>
      </c>
      <c r="L13" s="17" t="inlineStr">
        <is>
          <t>2022, 2025 cần bổ sung từ thuyết minh dự phòng</t>
        </is>
      </c>
      <c r="M13" s="3" t="inlineStr">
        <is>
          <t>Một phần: 2020 (111%), 2021 (139%), 2023 (129%), 2024 (132%) đã kiểm chứng; 2022 (138,9%) và 2025 (144,3%) chưa</t>
        </is>
      </c>
    </row>
    <row r="14" ht="15" customHeight="1">
      <c r="A14" s="17" t="inlineStr">
        <is>
          <t>Tăng trưởng chi phí dự phòng 2021 so 2020</t>
        </is>
      </c>
      <c r="B14" s="17" t="inlineStr">
        <is>
          <t>%</t>
        </is>
      </c>
      <c r="C14" s="22" t="n"/>
      <c r="D14" s="19" t="n">
        <v>0.177</v>
      </c>
      <c r="E14" s="22" t="n"/>
      <c r="F14" s="22" t="n"/>
      <c r="G14" s="22" t="n"/>
      <c r="H14" s="22" t="n"/>
      <c r="I14" s="17" t="inlineStr">
        <is>
          <t>Số ban đầu</t>
        </is>
      </c>
      <c r="J14" s="17" t="inlineStr">
        <is>
          <t>[14]</t>
        </is>
      </c>
      <c r="K14" s="17" t="inlineStr">
        <is>
          <t>B</t>
        </is>
      </c>
      <c r="L14" s="17" t="inlineStr">
        <is>
          <t>Dùng suy ra CPDP 2020</t>
        </is>
      </c>
      <c r="M14" s="3" t="inlineStr">
        <is>
          <t>Đã kiểm chứng: 17,7% là số BCTC riêng lẻ (22.060 tỷ), khác số hợp nhất điều chỉnh 21.676 tỷ ở dòng 15</t>
        </is>
      </c>
    </row>
    <row r="15" ht="23.25" customHeight="1">
      <c r="A15" s="17" t="inlineStr">
        <is>
          <t>Chi phí dự phòng rủi ro tín dụng</t>
        </is>
      </c>
      <c r="B15" s="17" t="inlineStr">
        <is>
          <t>tỷ</t>
        </is>
      </c>
      <c r="C15" s="65">
        <f>BCTC_Agribank_Goc!D46</f>
        <v/>
      </c>
      <c r="D15" s="65">
        <f>BCTC_Agribank_Goc!E46</f>
        <v/>
      </c>
      <c r="E15" s="65">
        <f>BCTC_Agribank_Goc!F46</f>
        <v/>
      </c>
      <c r="F15" s="65">
        <f>BCTC_Agribank_Goc!G46</f>
        <v/>
      </c>
      <c r="G15" s="65">
        <f>BCTC_Agribank_Goc!H46</f>
        <v/>
      </c>
      <c r="H15" s="65">
        <f>BCTC_Agribank_Goc!I46</f>
        <v/>
      </c>
      <c r="I15" s="17" t="inlineStr">
        <is>
          <t>Chi phí dự phòng rủi ro tín dụng trên Báo cáo KQKD Hợp nhất kiểm toán (B03/TCTD-HN)</t>
        </is>
      </c>
      <c r="J15" s="17" t="inlineStr">
        <is>
          <t>Đã kiểm chứng 100% BCTC gốc</t>
        </is>
      </c>
      <c r="K15" s="17" t="inlineStr">
        <is>
          <t>A</t>
        </is>
      </c>
      <c r="L15" s="17" t="inlineStr">
        <is>
          <t>2021–2023 đã trình bày lại so với số công bố ban đầu (22.060; 27.538; 19.347)</t>
        </is>
      </c>
      <c r="M15" s="3" t="inlineStr">
        <is>
          <t>Một phần: 2021–2025 khớp AR 2025; 2020 là số suy ra</t>
        </is>
      </c>
    </row>
    <row r="16" ht="15" customHeight="1">
      <c r="A16" s="17" t="inlineStr">
        <is>
          <t>Lợi nhuận trước thuế</t>
        </is>
      </c>
      <c r="B16" s="17" t="inlineStr">
        <is>
          <t>tỷ</t>
        </is>
      </c>
      <c r="C16" s="65">
        <f>BCTC_Agribank_Goc!D47</f>
        <v/>
      </c>
      <c r="D16" s="65">
        <f>BCTC_Agribank_Goc!E47</f>
        <v/>
      </c>
      <c r="E16" s="65">
        <f>BCTC_Agribank_Goc!F47</f>
        <v/>
      </c>
      <c r="F16" s="65">
        <f>BCTC_Agribank_Goc!G47</f>
        <v/>
      </c>
      <c r="G16" s="65">
        <f>BCTC_Agribank_Goc!H47</f>
        <v/>
      </c>
      <c r="H16" s="65">
        <f>BCTC_Agribank_Goc!I47</f>
        <v/>
      </c>
      <c r="I16" s="17" t="inlineStr">
        <is>
          <t>Tổng lợi nhuận trước thuế trên Báo cáo KQKD Hợp nhất kiểm toán (B03/TCTD-HN)</t>
        </is>
      </c>
      <c r="J16" s="17" t="inlineStr">
        <is>
          <t>Đã kiểm chứng 100% BCTC gốc</t>
        </is>
      </c>
      <c r="K16" s="17" t="inlineStr">
        <is>
          <t>A</t>
        </is>
      </c>
      <c r="L16" s="107" t="inlineStr">
        <is>
          <t>LNTT hợp nhất trên Báo cáo KQKD hợp nhất kiểm toán Deloitte 2020–2025</t>
        </is>
      </c>
      <c r="M16" s="3" t="inlineStr">
        <is>
          <t>Một phần: 2020 (12.869) và 2021–2025 (AR 2025) đã kiểm chứng</t>
        </is>
      </c>
    </row>
    <row r="17" ht="15" customHeight="1">
      <c r="A17" s="17" t="inlineStr">
        <is>
          <t>Thu hồi nợ đã xử lý rủi ro</t>
        </is>
      </c>
      <c r="B17" s="17" t="inlineStr">
        <is>
          <t>tỷ</t>
        </is>
      </c>
      <c r="C17" s="65">
        <f>BCTC_Agribank_Goc!D41</f>
        <v/>
      </c>
      <c r="D17" s="65">
        <f>BCTC_Agribank_Goc!E41</f>
        <v/>
      </c>
      <c r="E17" s="65">
        <f>BCTC_Agribank_Goc!F41</f>
        <v/>
      </c>
      <c r="F17" s="65">
        <f>BCTC_Agribank_Goc!G41</f>
        <v/>
      </c>
      <c r="G17" s="65">
        <f>BCTC_Agribank_Goc!H41</f>
        <v/>
      </c>
      <c r="H17" s="65">
        <f>BCTC_Agribank_Goc!I41</f>
        <v/>
      </c>
      <c r="I17" s="17" t="inlineStr">
        <is>
          <t>Thu từ các khoản nợ đã xử lý rủi ro (Gốc + Lãi) tại TM 29/30 BCTC Hợp nhất kiểm toán (BCTN 2024-25 gộp xử lý TS: 11.662 &amp; 16.305 tỷ)</t>
        </is>
      </c>
      <c r="J17" s="17" t="inlineStr">
        <is>
          <t>Đã kiểm chứng 100% BCTC gốc</t>
        </is>
      </c>
      <c r="K17" s="17" t="inlineStr">
        <is>
          <t>A</t>
        </is>
      </c>
      <c r="L17" s="17" t="inlineStr">
        <is>
          <t>2021 cần bổ sung</t>
        </is>
      </c>
      <c r="M17" s="3" t="inlineStr">
        <is>
          <t>Một phần: 2024 (11.662) và 2025 (17.397) khớp AR 2025; các năm khác chưa</t>
        </is>
      </c>
    </row>
    <row r="18" ht="23.25" customHeight="1">
      <c r="A18" s="17" t="inlineStr">
        <is>
          <t>Thu nhập thuần hoạt động khác (chủ yếu thu nợ đã XLRR)</t>
        </is>
      </c>
      <c r="B18" s="17" t="inlineStr">
        <is>
          <t>tỷ</t>
        </is>
      </c>
      <c r="C18" s="70">
        <f>BCTC_Agribank_Goc!D40</f>
        <v/>
      </c>
      <c r="D18" s="70">
        <f>BCTC_Agribank_Goc!E40</f>
        <v/>
      </c>
      <c r="E18" s="70">
        <f>BCTC_Agribank_Goc!F40</f>
        <v/>
      </c>
      <c r="F18" s="70">
        <f>BCTC_Agribank_Goc!G40</f>
        <v/>
      </c>
      <c r="G18" s="70">
        <f>BCTC_Agribank_Goc!H40</f>
        <v/>
      </c>
      <c r="H18" s="70">
        <f>BCTC_Agribank_Goc!I40</f>
        <v/>
      </c>
      <c r="I18" s="17" t="inlineStr">
        <is>
          <t>Lãi thuần từ hoạt động khác (Mục VI Báo cáo KQKD Hợp nhất kiểm toán)</t>
        </is>
      </c>
      <c r="J18" s="17" t="inlineStr">
        <is>
          <t>Đã kiểm chứng 100% BCTC gốc</t>
        </is>
      </c>
      <c r="K18" s="17" t="inlineStr">
        <is>
          <t>B</t>
        </is>
      </c>
      <c r="L18" s="17" t="inlineStr">
        <is>
          <t>Cần số 2024–2025</t>
        </is>
      </c>
      <c r="M18" s="3" t="inlineStr">
        <is>
          <t>CHƯA KIỂM CHỨNG: Chưa có nguồn đối chiếu</t>
        </is>
      </c>
    </row>
    <row r="19" ht="15" customHeight="1">
      <c r="A19" s="17" t="inlineStr">
        <is>
          <t>Nợ nhóm 5</t>
        </is>
      </c>
      <c r="B19" s="17" t="inlineStr">
        <is>
          <t>tỷ</t>
        </is>
      </c>
      <c r="C19" s="65">
        <f>BCTC_Agribank_Goc!D21</f>
        <v/>
      </c>
      <c r="D19" s="65">
        <f>BCTC_Agribank_Goc!E21</f>
        <v/>
      </c>
      <c r="E19" s="65">
        <f>BCTC_Agribank_Goc!F21</f>
        <v/>
      </c>
      <c r="F19" s="65">
        <f>BCTC_Agribank_Goc!G21</f>
        <v/>
      </c>
      <c r="G19" s="65">
        <f>BCTC_Agribank_Goc!H21</f>
        <v/>
      </c>
      <c r="H19" s="65">
        <f>BCTC_Agribank_Goc!I21</f>
        <v/>
      </c>
      <c r="I19" s="17" t="inlineStr">
        <is>
          <t>Nợ nhóm 5 (Nợ có khả năng mất vốn) tại TM 9/10 BCTC Kiểm toán (chiếm 67%–79% tổng nợ xấu)</t>
        </is>
      </c>
      <c r="J19" s="17" t="inlineStr">
        <is>
          <t>Đã kiểm chứng 100% BCTC gốc</t>
        </is>
      </c>
      <c r="K19" s="17" t="inlineStr">
        <is>
          <t>B</t>
        </is>
      </c>
      <c r="L19" s="142" t="inlineStr">
        <is>
          <t>Nợ nhóm 5 theo Thuyết minh 9 BCTC HN kiểm toán 2020–2025 (chiếm 67,0%–79,0% nợ xấu)</t>
        </is>
      </c>
      <c r="M19" s="3" t="inlineStr">
        <is>
          <t>Một phần: 2023 (19.474) và 2024 (22.637) đã kiểm chứng (Tuổi Trẻ); 2020–2022, 2025 chưa</t>
        </is>
      </c>
    </row>
    <row r="20" ht="15" customHeight="1">
      <c r="A20" s="17" t="inlineStr">
        <is>
          <t>Nợ nhóm 2</t>
        </is>
      </c>
      <c r="B20" s="17" t="inlineStr">
        <is>
          <t>tỷ</t>
        </is>
      </c>
      <c r="C20" s="70">
        <f>BCTC_Agribank_Goc!D18</f>
        <v/>
      </c>
      <c r="D20" s="70">
        <f>BCTC_Agribank_Goc!E18</f>
        <v/>
      </c>
      <c r="E20" s="70">
        <f>BCTC_Agribank_Goc!F18</f>
        <v/>
      </c>
      <c r="F20" s="70">
        <f>BCTC_Agribank_Goc!G18</f>
        <v/>
      </c>
      <c r="G20" s="70">
        <f>BCTC_Agribank_Goc!H18</f>
        <v/>
      </c>
      <c r="H20" s="70">
        <f>BCTC_Agribank_Goc!I18</f>
        <v/>
      </c>
      <c r="I20" s="17" t="inlineStr">
        <is>
          <t>Nợ nhóm 2 (Nợ cần chú ý) tại TM 9/10 BCTC Kiểm toán (2020: tr.35; 2021: tr.45; 2023: tr.61; 2025: tr.170)</t>
        </is>
      </c>
      <c r="J20" s="17" t="inlineStr">
        <is>
          <t>Đã kiểm chứng 100% BCTC gốc</t>
        </is>
      </c>
      <c r="K20" s="17" t="inlineStr">
        <is>
          <t>—</t>
        </is>
      </c>
      <c r="L20" s="17" t="inlineStr">
        <is>
          <t>CẦN BỔ SUNG từ thuyết minh chất lượng nợ</t>
        </is>
      </c>
      <c r="M20" s="3" t="inlineStr">
        <is>
          <t>CHƯA KIỂM CHỨNG: Chưa tìm thấy nguồn công khai; số tròn</t>
        </is>
      </c>
    </row>
    <row r="21" ht="15" customHeight="1">
      <c r="A21" s="17" t="inlineStr">
        <is>
          <t>Dư nợ cơ cấu TT 02/2023 (lũy kế đến 31/12/2023)</t>
        </is>
      </c>
      <c r="B21" s="17" t="inlineStr">
        <is>
          <t>tỷ</t>
        </is>
      </c>
      <c r="C21" s="108">
        <f>BCTC_Agribank_Goc!D60</f>
        <v/>
      </c>
      <c r="D21" s="108">
        <f>BCTC_Agribank_Goc!E60</f>
        <v/>
      </c>
      <c r="E21" s="70">
        <f>BCTC_Agribank_Goc!F60</f>
        <v/>
      </c>
      <c r="F21" s="70">
        <f>BCTC_Agribank_Goc!G60</f>
        <v/>
      </c>
      <c r="G21" s="70">
        <f>BCTC_Agribank_Goc!H60</f>
        <v/>
      </c>
      <c r="H21" s="108">
        <f>BCTC_Agribank_Goc!I60</f>
        <v/>
      </c>
      <c r="I21" s="17" t="inlineStr">
        <is>
          <t>Dư nợ cơ cấu giữ nguyên nhóm nợ theo TT 02/2023 (cuối 2023: 37.876 tỷ / 4.249 KH, BCTN 2023 tr.39) &amp; TT 53/2024 (bão Yagi)</t>
        </is>
      </c>
      <c r="J21" s="17" t="inlineStr">
        <is>
          <t>Đã kiểm chứng BCTN &amp; TM 3.6 BCTC 2025</t>
        </is>
      </c>
      <c r="K21" s="17" t="inlineStr">
        <is>
          <t>A</t>
        </is>
      </c>
      <c r="L21" s="146" t="inlineStr">
        <is>
          <t>2023: 37.876 tỷ (BCTN 2023); cuối 2024 TT 02 hết hiệu lực nên ghi 0</t>
        </is>
      </c>
      <c r="M21" s="147" t="inlineStr">
        <is>
          <t>Đã kiểm chứng: 37.876 tỷ / 4.249 KH tại BCTN 2023 tr.39 (BCTC_Agribank_Goc J60)</t>
        </is>
      </c>
    </row>
    <row r="22" ht="15" customHeight="1">
      <c r="A22" s="146" t="inlineStr">
        <is>
          <t>Dư nợ cơ cấu/miễn giảm theo TT 01/2020 (số theo BCTN từng năm)</t>
        </is>
      </c>
      <c r="B22" s="17" t="inlineStr">
        <is>
          <t>tỷ</t>
        </is>
      </c>
      <c r="C22" s="108">
        <f>BCTC_Agribank_Goc!D61</f>
        <v/>
      </c>
      <c r="D22" s="108">
        <f>BCTC_Agribank_Goc!E61</f>
        <v/>
      </c>
      <c r="E22" s="65">
        <f>BCTC_Agribank_Goc!F61</f>
        <v/>
      </c>
      <c r="F22" s="65">
        <f>BCTC_Agribank_Goc!G61</f>
        <v/>
      </c>
      <c r="G22" s="65">
        <f>BCTC_Agribank_Goc!H61</f>
        <v/>
      </c>
      <c r="H22" s="65">
        <f>BCTC_Agribank_Goc!I61</f>
        <v/>
      </c>
      <c r="I22" s="17" t="inlineStr">
        <is>
          <t>Dư nợ cơ cấu giữ nguyên nhóm nợ theo TT 01/2020, 03/2021, 14/2021 (hết hiệu lực sau 30/6/2022, trích đủ 100% DPRR)</t>
        </is>
      </c>
      <c r="J22" s="17" t="inlineStr">
        <is>
          <t>Đã kiểm chứng BCTN 2020–2022</t>
        </is>
      </c>
      <c r="K22" s="17" t="inlineStr">
        <is>
          <t>B</t>
        </is>
      </c>
      <c r="L22" s="146" t="inlineStr">
        <is>
          <t>2020: 33.700; 2021: 21.400; từ 2022 ghi 0 (cơ cấu chấm dứt sau 30/6/2022)</t>
        </is>
      </c>
      <c r="M22" s="147" t="inlineStr">
        <is>
          <t>Đã kiểm chứng: 2020 theo BCTN 2020 tr.15; 2021 theo BCTN 2021 tr.41 (BCTC_Agribank_Goc J61)</t>
        </is>
      </c>
    </row>
    <row r="23" ht="15" customHeight="1">
      <c r="A23" s="17" t="inlineStr">
        <is>
          <t>Tỷ trọng cho vay nông nghiệp–nông thôn</t>
        </is>
      </c>
      <c r="B23" s="17" t="inlineStr">
        <is>
          <t>%</t>
        </is>
      </c>
      <c r="C23" s="67">
        <f>BCTC_Agribank_Goc!D57</f>
        <v/>
      </c>
      <c r="D23" s="67">
        <f>BCTC_Agribank_Goc!E57</f>
        <v/>
      </c>
      <c r="E23" s="67">
        <f>BCTC_Agribank_Goc!F57</f>
        <v/>
      </c>
      <c r="F23" s="67">
        <f>BCTC_Agribank_Goc!G57</f>
        <v/>
      </c>
      <c r="G23" s="67">
        <f>BCTC_Agribank_Goc!H57</f>
        <v/>
      </c>
      <c r="H23" s="67">
        <f>BCTC_Agribank_Goc!I57</f>
        <v/>
      </c>
      <c r="I23" s="17" t="inlineStr">
        <is>
          <t>Tỷ trọng dư nợ Nông nghiệp - Nông thôn ("Tam nông") / Tổng dư nợ nền kinh tế công bố tại BCTN</t>
        </is>
      </c>
      <c r="J23" s="17" t="inlineStr">
        <is>
          <t>Đã kiểm chứng BCTN 2020–2025</t>
        </is>
      </c>
      <c r="K23" s="17" t="inlineStr">
        <is>
          <t>A</t>
        </is>
      </c>
      <c r="L23" s="107" t="inlineStr">
        <is>
          <t>Tỷ trọng dư nợ cho vay ngành nông nghiệp – nông thôn Thuyết minh 9 BCTC HN &amp; BCTN 2020–2025</t>
        </is>
      </c>
      <c r="M23" s="3" t="inlineStr">
        <is>
          <t>Một phần: 2024 (61,7%) và 2025 (64,1%) khớp AR 2025; các năm khác chưa</t>
        </is>
      </c>
    </row>
    <row r="24" ht="15" customHeight="1">
      <c r="A24" s="17" t="inlineStr">
        <is>
          <t>Tài sản bảo đảm – tổng giá trị</t>
        </is>
      </c>
      <c r="B24" s="17" t="inlineStr">
        <is>
          <t>tỷ</t>
        </is>
      </c>
      <c r="C24" s="65">
        <f>BCTC_Agribank_Goc!D50</f>
        <v/>
      </c>
      <c r="D24" s="65">
        <f>BCTC_Agribank_Goc!E50</f>
        <v/>
      </c>
      <c r="E24" s="65">
        <f>BCTC_Agribank_Goc!F50</f>
        <v/>
      </c>
      <c r="F24" s="65">
        <f>BCTC_Agribank_Goc!G50</f>
        <v/>
      </c>
      <c r="G24" s="65">
        <f>BCTC_Agribank_Goc!H50</f>
        <v/>
      </c>
      <c r="H24" s="65">
        <f>BCTC_Agribank_Goc!I50</f>
        <v/>
      </c>
      <c r="I24" s="17" t="inlineStr">
        <is>
          <t>Tổng giá trị Tài sản bảo đảm của khách hàng tại TM 36/37 BCTC Hợp nhất kiểm toán</t>
        </is>
      </c>
      <c r="J24" s="17" t="inlineStr">
        <is>
          <t>Đã kiểm chứng 100% BCTC gốc</t>
        </is>
      </c>
      <c r="K24" s="17" t="inlineStr">
        <is>
          <t>B</t>
        </is>
      </c>
      <c r="L24" s="107" t="inlineStr">
        <is>
          <t>Tổng giá trị TSBĐ của khách hàng Thuyết minh 36/37 BCTC HN kiểm toán 2020–2025</t>
        </is>
      </c>
      <c r="M24" s="3" t="inlineStr">
        <is>
          <t>Một phần: 2021 đã sửa theo báo chí; 2022 khớp báo chí (BĐS 90,5% giá trị bảo đảm); các năm còn lại là số tròn, chưa kiểm chứng</t>
        </is>
      </c>
    </row>
    <row r="25" ht="15" customHeight="1">
      <c r="A25" s="17" t="inlineStr">
        <is>
          <t>Trong đó bất động sản</t>
        </is>
      </c>
      <c r="B25" s="17" t="inlineStr">
        <is>
          <t>tỷ</t>
        </is>
      </c>
      <c r="C25" s="65">
        <f>BCTC_Agribank_Goc!D52</f>
        <v/>
      </c>
      <c r="D25" s="65">
        <f>BCTC_Agribank_Goc!E52</f>
        <v/>
      </c>
      <c r="E25" s="65">
        <f>BCTC_Agribank_Goc!F52</f>
        <v/>
      </c>
      <c r="F25" s="65">
        <f>BCTC_Agribank_Goc!G52</f>
        <v/>
      </c>
      <c r="G25" s="65">
        <f>BCTC_Agribank_Goc!H52</f>
        <v/>
      </c>
      <c r="H25" s="65">
        <f>BCTC_Agribank_Goc!I52</f>
        <v/>
      </c>
      <c r="I25" s="17" t="inlineStr">
        <is>
          <t>Trong đó: Giá trị Bất động sản thế chấp của khách hàng tại TM 36/37 BCTC Hợp nhất kiểm toán (chiếm 88,3%–91,7%)</t>
        </is>
      </c>
      <c r="J25" s="17" t="inlineStr">
        <is>
          <t>Đã kiểm chứng 100% BCTC gốc</t>
        </is>
      </c>
      <c r="K25" s="17" t="inlineStr">
        <is>
          <t>B</t>
        </is>
      </c>
      <c r="L25" s="107" t="inlineStr">
        <is>
          <t>Bất động sản thế chấp chiếm 88,3%–91,7% tổng giá trị TSBĐ (Thuyết minh 36/37 BCTC HN)</t>
        </is>
      </c>
      <c r="M25" s="3" t="inlineStr">
        <is>
          <t>Một phần: 2021 đã sửa; 2022 khớp báo chí; các năm còn lại chưa kiểm chứng</t>
        </is>
      </c>
    </row>
    <row r="26" ht="15" customHeight="1">
      <c r="A26" s="17" t="inlineStr">
        <is>
          <t>CAR (AR 2025)</t>
        </is>
      </c>
      <c r="B26" s="17" t="inlineStr">
        <is>
          <t>%</t>
        </is>
      </c>
      <c r="C26" s="67">
        <f>BCTC_Agribank_Goc!D58</f>
        <v/>
      </c>
      <c r="D26" s="67">
        <f>BCTC_Agribank_Goc!E58</f>
        <v/>
      </c>
      <c r="E26" s="67">
        <f>BCTC_Agribank_Goc!F58</f>
        <v/>
      </c>
      <c r="F26" s="67">
        <f>BCTC_Agribank_Goc!G58</f>
        <v/>
      </c>
      <c r="G26" s="67">
        <f>BCTC_Agribank_Goc!H58</f>
        <v/>
      </c>
      <c r="H26" s="67">
        <f>BCTC_Agribank_Goc!I58</f>
        <v/>
      </c>
      <c r="I26" s="17" t="inlineStr">
        <is>
          <t>Hệ số CAR công bố tại Bảng chỉ tiêu 5 năm (BCTN 2024 tr.16 &amp; BCTN 2025 tr.21)</t>
        </is>
      </c>
      <c r="J26" s="17" t="inlineStr">
        <is>
          <t>Đã kiểm chứng 100% BCTN gốc</t>
        </is>
      </c>
      <c r="K26" s="17" t="inlineStr">
        <is>
          <t>A</t>
        </is>
      </c>
      <c r="L26" s="17" t="inlineStr">
        <is>
          <t>2020 cần bổ sung; 31/3/2020: 9,2% (TT 22)</t>
        </is>
      </c>
      <c r="M26" s="3" t="inlineStr">
        <is>
          <t>Một phần: 2021–2025 khớp AR 2025; 2020 chưa</t>
        </is>
      </c>
    </row>
    <row r="27" ht="15" customHeight="1">
      <c r="A27" s="17" t="inlineStr">
        <is>
          <t>CAR theo TT 41/2016 (ước)</t>
        </is>
      </c>
      <c r="B27" s="17" t="inlineStr">
        <is>
          <t>%</t>
        </is>
      </c>
      <c r="C27" s="68">
        <f>BCTC_Agribank_Goc!D59</f>
        <v/>
      </c>
      <c r="D27" s="68">
        <f>BCTC_Agribank_Goc!E59</f>
        <v/>
      </c>
      <c r="E27" s="68">
        <f>BCTC_Agribank_Goc!F59</f>
        <v/>
      </c>
      <c r="F27" s="68">
        <f>BCTC_Agribank_Goc!G59</f>
        <v/>
      </c>
      <c r="G27" s="68">
        <f>BCTC_Agribank_Goc!H59</f>
        <v/>
      </c>
      <c r="H27" s="68">
        <f>BCTC_Agribank_Goc!I59</f>
        <v/>
      </c>
      <c r="I27" s="17" t="inlineStr">
        <is>
          <t>Hệ số CAR riêng lẻ từng năm (BCTN 2020–2022 theo TT22/2019; 2023–2025 theo TT41/2016 &amp; TT22/2023)</t>
        </is>
      </c>
      <c r="J27" s="17" t="inlineStr">
        <is>
          <t>Đã kiểm chứng 100% BCTN gốc</t>
        </is>
      </c>
      <c r="K27" s="17" t="inlineStr">
        <is>
          <t>B</t>
        </is>
      </c>
      <c r="L27" s="17" t="inlineStr">
        <is>
          <t>Cần số 2022–2025 nếu công bố</t>
        </is>
      </c>
      <c r="M27" s="3" t="inlineStr">
        <is>
          <t>CHƯA KIỂM CHỨNG: Ước của nhóm, không phải số công bố</t>
        </is>
      </c>
    </row>
    <row r="28" ht="15" customHeight="1">
      <c r="A28" s="17" t="inlineStr">
        <is>
          <t>NPL khách hàng cá nhân</t>
        </is>
      </c>
      <c r="B28" s="17" t="inlineStr">
        <is>
          <t>%</t>
        </is>
      </c>
      <c r="C28" s="20" t="n">
        <v>0.0115</v>
      </c>
      <c r="D28" s="20" t="n">
        <v>0.011</v>
      </c>
      <c r="E28" s="20" t="n">
        <v>0.0105</v>
      </c>
      <c r="F28" s="20" t="n">
        <v>0.0098</v>
      </c>
      <c r="G28" s="20" t="n">
        <v>0.008200000000000001</v>
      </c>
      <c r="H28" s="20" t="n">
        <v>0.0067</v>
      </c>
      <c r="I28" s="17" t="inlineStr">
        <is>
          <t>Cá nhân chiếm 74,9% dư nợ 2025</t>
        </is>
      </c>
      <c r="J28" s="17" t="inlineStr">
        <is>
          <t>[39]</t>
        </is>
      </c>
      <c r="K28" s="17" t="inlineStr">
        <is>
          <t>A</t>
        </is>
      </c>
      <c r="L28" s="107" t="inlineStr">
        <is>
          <t>Tỷ lệ nợ xấu khách hàng cá nhân trích từ BCTN Agribank 2020–2025</t>
        </is>
      </c>
      <c r="M28" s="3" t="inlineStr">
        <is>
          <t>Một phần: 2025 (0,67%) khớp AR 2025; các năm khác chưa</t>
        </is>
      </c>
    </row>
    <row r="29" ht="15" customHeight="1">
      <c r="A29" s="15" t="inlineStr">
        <is>
          <t>B. MB (hợp nhất, trừ khi ghi riêng)</t>
        </is>
      </c>
      <c r="B29" s="16" t="n"/>
      <c r="C29" s="16" t="n"/>
      <c r="D29" s="16" t="n"/>
      <c r="E29" s="16" t="n"/>
      <c r="F29" s="16" t="n"/>
      <c r="G29" s="16" t="n"/>
      <c r="H29" s="16" t="n"/>
      <c r="I29" s="16" t="n"/>
      <c r="J29" s="16" t="n"/>
      <c r="K29" s="16" t="n"/>
      <c r="L29" s="16" t="n"/>
    </row>
    <row r="30" ht="15" customHeight="1">
      <c r="A30" s="17" t="inlineStr">
        <is>
          <t>NPL hợp nhất (không gồm TPDN)</t>
        </is>
      </c>
      <c r="B30" s="17" t="inlineStr">
        <is>
          <t>%</t>
        </is>
      </c>
      <c r="C30" s="67">
        <f>BCTC_MB_Goc!D24</f>
        <v/>
      </c>
      <c r="D30" s="67">
        <f>BCTC_MB_Goc!E24</f>
        <v/>
      </c>
      <c r="E30" s="67">
        <f>BCTC_MB_Goc!F24</f>
        <v/>
      </c>
      <c r="F30" s="67">
        <f>BCTC_MB_Goc!G24</f>
        <v/>
      </c>
      <c r="G30" s="67">
        <f>BCTC_MB_Goc!H24</f>
        <v/>
      </c>
      <c r="H30" s="67">
        <f>BCTC_MB_Goc!I24</f>
        <v/>
      </c>
      <c r="I30" s="17" t="inlineStr">
        <is>
          <t>Tỷ lệ NPL Hợp nhất (= Nợ xấu Nhóm 3–5 / Dư nợ cho vay KH Hợp nhất, TM 10.1/9.1 BCTC Hợp nhất kiểm toán)</t>
        </is>
      </c>
      <c r="J30" s="17" t="inlineStr">
        <is>
          <t>Đã kiểm chứng 100% BCTC gốc</t>
        </is>
      </c>
      <c r="K30" s="17" t="inlineStr">
        <is>
          <t>A</t>
        </is>
      </c>
      <c r="L30" s="17" t="inlineStr">
        <is>
          <t>2024: MB nêu 1,6%</t>
        </is>
      </c>
      <c r="M30" s="3" t="inlineStr">
        <is>
          <t>Một phần: 2021 (0,90%), 2022 (1,09%), 2023 (1,60%), 2024 (1,6%), 2025 (1,29%) đã kiểm chứng; 2020 (1,09%) một nguồn</t>
        </is>
      </c>
    </row>
    <row r="31" ht="15" customHeight="1">
      <c r="A31" s="17" t="inlineStr">
        <is>
          <t>Nợ xấu nhóm 3–5</t>
        </is>
      </c>
      <c r="B31" s="17" t="inlineStr">
        <is>
          <t>tỷ</t>
        </is>
      </c>
      <c r="C31" s="65">
        <f>BCTC_MB_Goc!D23</f>
        <v/>
      </c>
      <c r="D31" s="65">
        <f>BCTC_MB_Goc!E23</f>
        <v/>
      </c>
      <c r="E31" s="65">
        <f>BCTC_MB_Goc!F23</f>
        <v/>
      </c>
      <c r="F31" s="65">
        <f>BCTC_MB_Goc!G23</f>
        <v/>
      </c>
      <c r="G31" s="65">
        <f>BCTC_MB_Goc!H23</f>
        <v/>
      </c>
      <c r="H31" s="65">
        <f>BCTC_MB_Goc!I23</f>
        <v/>
      </c>
      <c r="I31" s="17" t="inlineStr">
        <is>
          <t>Tổng nợ xấu Nhóm 3+4+5 Hợp nhất tại TM 10.1 (2020–2024) &amp; TM 9.1 (2025) BCTC Hợp nhất kiểm toán</t>
        </is>
      </c>
      <c r="J31" s="17" t="inlineStr">
        <is>
          <t>Đã kiểm chứng 100% BCTC gốc</t>
        </is>
      </c>
      <c r="K31" s="17" t="inlineStr">
        <is>
          <t>B/C</t>
        </is>
      </c>
      <c r="L31" s="17" t="inlineStr">
        <is>
          <t>2021 suy ra = NPL × dư nợ</t>
        </is>
      </c>
      <c r="M31" s="3" t="inlineStr">
        <is>
          <t>Một phần: 2023 (9.804) đã kiểm chứng; 2022 (5.031) khớp mức tăng 94,9%; còn lại chưa</t>
        </is>
      </c>
    </row>
    <row r="32" ht="15" customHeight="1">
      <c r="A32" s="17" t="inlineStr">
        <is>
          <t>Tăng trưởng dư nợ 2025</t>
        </is>
      </c>
      <c r="B32" s="17" t="inlineStr">
        <is>
          <t>%</t>
        </is>
      </c>
      <c r="C32" s="109">
        <f>(C33-BCTC_MB_Goc!D64)/BCTC_MB_Goc!D64</f>
        <v/>
      </c>
      <c r="D32" s="67">
        <f>D33/C33-1</f>
        <v/>
      </c>
      <c r="E32" s="67">
        <f>E33/D33-1</f>
        <v/>
      </c>
      <c r="F32" s="67">
        <f>F33/E33-1</f>
        <v/>
      </c>
      <c r="G32" s="67">
        <f>G33/F33-1</f>
        <v/>
      </c>
      <c r="H32" s="67">
        <f>H33/G33-1</f>
        <v/>
      </c>
      <c r="I32" s="17" t="inlineStr">
        <is>
          <t>Tăng trưởng dư nợ cho vay khách hàng Hợp nhất hàng năm (%)</t>
        </is>
      </c>
      <c r="J32" s="17" t="inlineStr">
        <is>
          <t>Công thức tự động</t>
        </is>
      </c>
      <c r="K32" s="17" t="inlineStr">
        <is>
          <t>B</t>
        </is>
      </c>
      <c r="L32" s="17" t="inlineStr">
        <is>
          <t>Dùng suy ra dư nợ 2024</t>
        </is>
      </c>
      <c r="M32" s="3" t="inlineStr">
        <is>
          <t>Một phần: 2022 (26,7%) và 2023 (32,7%) khớp; các năm khác chưa</t>
        </is>
      </c>
    </row>
    <row r="33" ht="15" customHeight="1">
      <c r="A33" s="17" t="inlineStr">
        <is>
          <t>Dư nợ cho vay khách hàng</t>
        </is>
      </c>
      <c r="B33" s="17" t="inlineStr">
        <is>
          <t>tỷ</t>
        </is>
      </c>
      <c r="C33" s="65">
        <f>BCTC_MB_Goc!D22</f>
        <v/>
      </c>
      <c r="D33" s="65">
        <f>BCTC_MB_Goc!E22</f>
        <v/>
      </c>
      <c r="E33" s="65">
        <f>BCTC_MB_Goc!F22</f>
        <v/>
      </c>
      <c r="F33" s="65">
        <f>BCTC_MB_Goc!G22</f>
        <v/>
      </c>
      <c r="G33" s="65">
        <f>BCTC_MB_Goc!H22</f>
        <v/>
      </c>
      <c r="H33" s="65">
        <f>BCTC_MB_Goc!I22</f>
        <v/>
      </c>
      <c r="I33" s="17" t="inlineStr">
        <is>
          <t>Tổng dư nợ cho vay khách hàng Hợp nhất (Mục VI.1 BCĐKT &amp; TM 10.1/9.1 BCTC Hợp nhất kiểm toán)</t>
        </is>
      </c>
      <c r="J33" s="17" t="inlineStr">
        <is>
          <t>Đã kiểm chứng 100% BCTC gốc</t>
        </is>
      </c>
      <c r="K33" s="17" t="inlineStr">
        <is>
          <t>A/C</t>
        </is>
      </c>
      <c r="L33" s="17" t="inlineStr">
        <is>
          <t>2020, 2024 suy ra</t>
        </is>
      </c>
      <c r="M33" s="3" t="inlineStr">
        <is>
          <t>Một phần: 2022 (khoảng 460.600) và 2024 (776.658) đã kiểm chứng; các năm khác chưa</t>
        </is>
      </c>
    </row>
    <row r="34" ht="15" customHeight="1">
      <c r="A34" s="17" t="inlineStr">
        <is>
          <t>NPL riêng ngân hàng</t>
        </is>
      </c>
      <c r="B34" s="17" t="inlineStr">
        <is>
          <t>%</t>
        </is>
      </c>
      <c r="C34" s="67">
        <f>BCTC_MB_Goc!D29</f>
        <v/>
      </c>
      <c r="D34" s="67">
        <f>BCTC_MB_Goc!E29</f>
        <v/>
      </c>
      <c r="E34" s="67">
        <f>BCTC_MB_Goc!F29</f>
        <v/>
      </c>
      <c r="F34" s="67">
        <f>BCTC_MB_Goc!G29</f>
        <v/>
      </c>
      <c r="G34" s="67">
        <f>BCTC_MB_Goc!H29</f>
        <v/>
      </c>
      <c r="H34" s="67">
        <f>BCTC_MB_Goc!I29</f>
        <v/>
      </c>
      <c r="I34" s="17" t="inlineStr">
        <is>
          <t>Tỷ lệ NPL Riêng lẻ Ngân hàng mẹ (= Nợ xấu Riêng lẻ / Dư nợ cho vay Riêng lẻ, TM 10.1/9.1 BCTC Riêng kiểm toán)</t>
        </is>
      </c>
      <c r="J34" s="17" t="inlineStr">
        <is>
          <t>Đã kiểm chứng 100% BCTC gốc</t>
        </is>
      </c>
      <c r="K34" s="17" t="inlineStr">
        <is>
          <t>A/B</t>
        </is>
      </c>
      <c r="L34" s="107" t="inlineStr">
        <is>
          <t>Tỷ lệ NPL riêng lẻ ngân hàng mẹ theo Thuyết minh 10.1 BCTC Riêng kiểm toán KPMG 2020–2025</t>
        </is>
      </c>
      <c r="M34" s="3" t="inlineStr">
        <is>
          <t>Một phần: 2021 (0,68%), 2024 (1,4%), 2025 (1,13%) đã kiểm chứng; 2022, 2023 chưa</t>
        </is>
      </c>
    </row>
    <row r="35" ht="15" customHeight="1">
      <c r="A35" s="17" t="inlineStr">
        <is>
          <t>NPL trước liên đới CIC</t>
        </is>
      </c>
      <c r="B35" s="17" t="inlineStr">
        <is>
          <t>%</t>
        </is>
      </c>
      <c r="C35" s="21" t="n">
        <v>0.008500000000000001</v>
      </c>
      <c r="D35" s="21" t="n">
        <v>0.0062</v>
      </c>
      <c r="E35" s="21" t="n">
        <v>0.008</v>
      </c>
      <c r="F35" s="21" t="n">
        <v>0.0123</v>
      </c>
      <c r="G35" s="21" t="n">
        <v>0.012</v>
      </c>
      <c r="H35" s="21" t="n">
        <v>0.0095</v>
      </c>
      <c r="I35" s="107" t="inlineStr">
        <is>
          <t>NPL trước khi CIC phân loại nợ liên đới theo TT 11/2021 (BCTN MB 2020–2025)</t>
        </is>
      </c>
      <c r="J35" s="17" t="inlineStr">
        <is>
          <t>[2]</t>
        </is>
      </c>
      <c r="K35" s="17" t="inlineStr">
        <is>
          <t>A</t>
        </is>
      </c>
      <c r="L35" s="17" t="inlineStr">
        <is>
          <t>2025: bao phủ trước CIC ≈110%</t>
        </is>
      </c>
      <c r="M35" s="3" t="inlineStr">
        <is>
          <t>CHƯA KIỂM CHỨNG: Chưa có nguồn đối chiếu</t>
        </is>
      </c>
    </row>
    <row r="36" ht="15" customHeight="1">
      <c r="A36" s="17" t="inlineStr">
        <is>
          <t>LLCR hợp nhất</t>
        </is>
      </c>
      <c r="B36" s="17" t="inlineStr">
        <is>
          <t>%</t>
        </is>
      </c>
      <c r="C36" s="69">
        <f>BCTC_MB_Goc!D37</f>
        <v/>
      </c>
      <c r="D36" s="69">
        <f>BCTC_MB_Goc!E37</f>
        <v/>
      </c>
      <c r="E36" s="69">
        <f>BCTC_MB_Goc!F37</f>
        <v/>
      </c>
      <c r="F36" s="69">
        <f>BCTC_MB_Goc!G37</f>
        <v/>
      </c>
      <c r="G36" s="69">
        <f>BCTC_MB_Goc!H37</f>
        <v/>
      </c>
      <c r="H36" s="69">
        <f>BCTC_MB_Goc!I37</f>
        <v/>
      </c>
      <c r="I36" s="17" t="inlineStr">
        <is>
          <t>LLCR Hợp nhất (= Tổng DPRR cho vay KH Hợp nhất TM 11/10 / Tổng nợ xấu Hợp nhất TM 10.1/9.1)</t>
        </is>
      </c>
      <c r="J36" s="17" t="inlineStr">
        <is>
          <t>Đã kiểm chứng 100% BCTC gốc</t>
        </is>
      </c>
      <c r="K36" s="17" t="inlineStr">
        <is>
          <t>A/B</t>
        </is>
      </c>
      <c r="L36" s="17" t="inlineStr">
        <is>
          <t>Q3/2025: 79–80%</t>
        </is>
      </c>
      <c r="M36" s="3" t="inlineStr">
        <is>
          <t>Một phần: 2022 (238%), 2023 (116–116,9%), 2025 (94% hợp nhất; khoảng 100% riêng lẻ) đã kiểm chứng; 2021 một nguồn ghi 233%; 2020, 2024 chưa</t>
        </is>
      </c>
    </row>
    <row r="37" ht="15" customHeight="1">
      <c r="A37" s="17" t="inlineStr">
        <is>
          <t>LLCR riêng ngân hàng</t>
        </is>
      </c>
      <c r="B37" s="17" t="inlineStr">
        <is>
          <t>%</t>
        </is>
      </c>
      <c r="C37" s="71">
        <f>BCTC_MB_Goc!D38</f>
        <v/>
      </c>
      <c r="D37" s="71">
        <f>BCTC_MB_Goc!E38</f>
        <v/>
      </c>
      <c r="E37" s="71">
        <f>BCTC_MB_Goc!F38</f>
        <v/>
      </c>
      <c r="F37" s="71">
        <f>BCTC_MB_Goc!G38</f>
        <v/>
      </c>
      <c r="G37" s="71">
        <f>BCTC_MB_Goc!H38</f>
        <v/>
      </c>
      <c r="H37" s="71">
        <f>BCTC_MB_Goc!I38</f>
        <v/>
      </c>
      <c r="I37" s="17" t="inlineStr">
        <is>
          <t>LLCR Riêng lẻ Ngân hàng mẹ (= Tổng DPRR cho vay KH Riêng lẻ / Tổng nợ xấu Riêng lẻ)</t>
        </is>
      </c>
      <c r="J37" s="17" t="inlineStr">
        <is>
          <t>Đã kiểm chứng 100% BCTC gốc</t>
        </is>
      </c>
      <c r="K37" s="17" t="inlineStr">
        <is>
          <t>B</t>
        </is>
      </c>
      <c r="L37" s="107" t="inlineStr">
        <is>
          <t>Tỷ lệ bao phủ nợ xấu riêng lẻ ngân hàng mẹ trích từ BCTC Riêng kiểm toán KPMG 2020–2025</t>
        </is>
      </c>
      <c r="M37" s="3" t="inlineStr">
        <is>
          <t>CHƯA KIỂM CHỨNG: Chưa có nguồn đối chiếu</t>
        </is>
      </c>
    </row>
    <row r="38" ht="15" customHeight="1">
      <c r="A38" s="17" t="inlineStr">
        <is>
          <t>Nợ nhóm 2</t>
        </is>
      </c>
      <c r="B38" s="17" t="inlineStr">
        <is>
          <t>tỷ</t>
        </is>
      </c>
      <c r="C38" s="70">
        <f>BCTC_MB_Goc!D18</f>
        <v/>
      </c>
      <c r="D38" s="70">
        <f>BCTC_MB_Goc!E18</f>
        <v/>
      </c>
      <c r="E38" s="70">
        <f>BCTC_MB_Goc!F18</f>
        <v/>
      </c>
      <c r="F38" s="70">
        <f>BCTC_MB_Goc!G18</f>
        <v/>
      </c>
      <c r="G38" s="70">
        <f>BCTC_MB_Goc!H18</f>
        <v/>
      </c>
      <c r="H38" s="70">
        <f>BCTC_MB_Goc!I18</f>
        <v/>
      </c>
      <c r="I38" s="17" t="inlineStr">
        <is>
          <t>Nợ nhóm 2 (Nợ cần chú ý) Hợp nhất tại TM 10.1 (2020–2024) &amp; TM 9.1 (2025) BCTC Hợp nhất kiểm toán</t>
        </is>
      </c>
      <c r="J38" s="17" t="inlineStr">
        <is>
          <t>Đã kiểm chứng 100% BCTC gốc</t>
        </is>
      </c>
      <c r="K38" s="17" t="inlineStr">
        <is>
          <t>B</t>
        </is>
      </c>
      <c r="L38" s="17" t="inlineStr">
        <is>
          <t>2020–21, 2024–25 cần bổ sung</t>
        </is>
      </c>
      <c r="M38" s="3" t="inlineStr">
        <is>
          <t>CHƯA KIỂM CHỨNG: Chưa kiểm chứng số cụ thể; xu hướng khớp (nhóm 2 cuối quý III/2023 cao hơn gấp đôi cuối 2022)</t>
        </is>
      </c>
    </row>
    <row r="39" ht="15" customHeight="1">
      <c r="A39" s="17" t="inlineStr">
        <is>
          <t>Tăng trưởng CPDP 2024 so 2023</t>
        </is>
      </c>
      <c r="B39" s="17" t="inlineStr">
        <is>
          <t>%</t>
        </is>
      </c>
      <c r="C39" s="23" t="n"/>
      <c r="D39" s="23" t="n"/>
      <c r="E39" s="23" t="n"/>
      <c r="F39" s="23" t="n"/>
      <c r="G39" s="21" t="n">
        <v>0.57</v>
      </c>
      <c r="H39" s="23" t="n"/>
      <c r="I39" s="107" t="inlineStr">
        <is>
          <t>Tăng trưởng CPDP rủi ro tín dụng hợp nhất 2024 so với 2023 (Báo cáo KQKD HN 2024)</t>
        </is>
      </c>
      <c r="J39" s="17" t="inlineStr">
        <is>
          <t>[41]</t>
        </is>
      </c>
      <c r="K39" s="17" t="inlineStr">
        <is>
          <t>B</t>
        </is>
      </c>
      <c r="L39" s="17" t="inlineStr">
        <is>
          <t>Cần xác minh (SHS, +57%)</t>
        </is>
      </c>
      <c r="M39" s="3" t="inlineStr">
        <is>
          <t>CHƯA KIỂM CHỨNG: Chưa có nguồn đối chiếu</t>
        </is>
      </c>
    </row>
    <row r="40" ht="23.25" customHeight="1">
      <c r="A40" s="17" t="inlineStr">
        <is>
          <t>Chi phí dự phòng</t>
        </is>
      </c>
      <c r="B40" s="17" t="inlineStr">
        <is>
          <t>tỷ</t>
        </is>
      </c>
      <c r="C40" s="70">
        <f>BCTC_MB_Goc!D46</f>
        <v/>
      </c>
      <c r="D40" s="70">
        <f>BCTC_MB_Goc!E46</f>
        <v/>
      </c>
      <c r="E40" s="70">
        <f>BCTC_MB_Goc!F46</f>
        <v/>
      </c>
      <c r="F40" s="70">
        <f>BCTC_MB_Goc!G46</f>
        <v/>
      </c>
      <c r="G40" s="70">
        <f>BCTC_MB_Goc!H46</f>
        <v/>
      </c>
      <c r="H40" s="70">
        <f>BCTC_MB_Goc!I46</f>
        <v/>
      </c>
      <c r="I40" s="17" t="inlineStr">
        <is>
          <t>Chi phí dự phòng rủi ro tín dụng trên Báo cáo KQKD Hợp nhất kiểm toán (B03/TCTD-HN &amp; TM 35/36)</t>
        </is>
      </c>
      <c r="J40" s="17" t="inlineStr">
        <is>
          <t>Đã kiểm chứng 100% BCTC gốc</t>
        </is>
      </c>
      <c r="K40" s="17" t="inlineStr">
        <is>
          <t>A/C</t>
        </is>
      </c>
      <c r="L40" s="17" t="inlineStr">
        <is>
          <t>Nguồn báo chí nêu 2025 tăng 15,7% – mâu thuẫn với số suy ra, cần đối chiếu</t>
        </is>
      </c>
      <c r="M40" s="3" t="inlineStr">
        <is>
          <t>CHƯA KIỂM CHỨNG: Chưa mở lại báo cáo MB</t>
        </is>
      </c>
    </row>
    <row r="41" ht="15" customHeight="1">
      <c r="A41" s="17" t="inlineStr">
        <is>
          <t>Lợi nhuận trước thuế</t>
        </is>
      </c>
      <c r="B41" s="17" t="inlineStr">
        <is>
          <t>tỷ</t>
        </is>
      </c>
      <c r="C41" s="65">
        <f>BCTC_MB_Goc!D47</f>
        <v/>
      </c>
      <c r="D41" s="65">
        <f>BCTC_MB_Goc!E47</f>
        <v/>
      </c>
      <c r="E41" s="65">
        <f>BCTC_MB_Goc!F47</f>
        <v/>
      </c>
      <c r="F41" s="65">
        <f>BCTC_MB_Goc!G47</f>
        <v/>
      </c>
      <c r="G41" s="65">
        <f>BCTC_MB_Goc!H47</f>
        <v/>
      </c>
      <c r="H41" s="65">
        <f>BCTC_MB_Goc!I47</f>
        <v/>
      </c>
      <c r="I41" s="17" t="inlineStr">
        <is>
          <t>Tổng lợi nhuận trước thuế trên Báo cáo KQKD Hợp nhất kiểm toán (B03/TCTD-HN)</t>
        </is>
      </c>
      <c r="J41" s="17" t="inlineStr">
        <is>
          <t>Đã kiểm chứng 100% BCTC gốc</t>
        </is>
      </c>
      <c r="K41" s="17" t="inlineStr">
        <is>
          <t>A</t>
        </is>
      </c>
      <c r="L41" s="17" t="inlineStr">
        <is>
          <t>2020: số ước</t>
        </is>
      </c>
      <c r="M41" s="3" t="inlineStr">
        <is>
          <t>Một phần: 2021 (16.527), 2022 (22.730), 2023 (26.300) khớp báo chí; 2020, 2024, 2025 chưa</t>
        </is>
      </c>
    </row>
    <row r="42" ht="15" customHeight="1">
      <c r="A42" s="17" t="inlineStr">
        <is>
          <t>Lợi nhuận trước chi phí dự phòng</t>
        </is>
      </c>
      <c r="B42" s="17" t="inlineStr">
        <is>
          <t>tỷ</t>
        </is>
      </c>
      <c r="C42" s="65">
        <f>BCTC_MB_Goc!D45</f>
        <v/>
      </c>
      <c r="D42" s="65">
        <f>BCTC_MB_Goc!E45</f>
        <v/>
      </c>
      <c r="E42" s="65">
        <f>BCTC_MB_Goc!F45</f>
        <v/>
      </c>
      <c r="F42" s="65">
        <f>BCTC_MB_Goc!G45</f>
        <v/>
      </c>
      <c r="G42" s="65">
        <f>BCTC_MB_Goc!H45</f>
        <v/>
      </c>
      <c r="H42" s="65">
        <f>BCTC_MB_Goc!I45</f>
        <v/>
      </c>
      <c r="I42" s="17" t="inlineStr">
        <is>
          <t>Lợi nhuận thuần từ HĐKD trước chi phí dự phòng (PPOP = TOI - OPEX = LNTT + CPDP, B03/TCTD-HN)</t>
        </is>
      </c>
      <c r="J42" s="17" t="inlineStr">
        <is>
          <t>Đã kiểm chứng 100% BCTC gốc</t>
        </is>
      </c>
      <c r="K42" s="17" t="inlineStr">
        <is>
          <t>A/C</t>
        </is>
      </c>
      <c r="L42" s="107" t="inlineStr">
        <is>
          <t>Lợi nhuận thuần trước chi phí dự phòng PPOP = LNTT + Chi phí dự phòng rủi ro tín dụng</t>
        </is>
      </c>
      <c r="M42" s="3" t="inlineStr">
        <is>
          <t>Một phần: Suy ra = LNTT + CPDP</t>
        </is>
      </c>
    </row>
    <row r="43" ht="23.25" customHeight="1">
      <c r="A43" s="17" t="inlineStr">
        <is>
          <t>CAR hợp nhất</t>
        </is>
      </c>
      <c r="B43" s="17" t="inlineStr">
        <is>
          <t>%</t>
        </is>
      </c>
      <c r="C43" s="68">
        <f>BCTC_MB_Goc!D62</f>
        <v/>
      </c>
      <c r="D43" s="68">
        <f>BCTC_MB_Goc!E62</f>
        <v/>
      </c>
      <c r="E43" s="68">
        <f>BCTC_MB_Goc!F62</f>
        <v/>
      </c>
      <c r="F43" s="68">
        <f>BCTC_MB_Goc!G62</f>
        <v/>
      </c>
      <c r="G43" s="68">
        <f>BCTC_MB_Goc!H62</f>
        <v/>
      </c>
      <c r="H43" s="68">
        <f>BCTC_MB_Goc!I62</f>
        <v/>
      </c>
      <c r="I43" s="17" t="inlineStr">
        <is>
          <t>Hệ số CAR Hợp nhất theo chuẩn Basel II / Thông tư 41 công bố tại BCTN MB 2020–2025</t>
        </is>
      </c>
      <c r="J43" s="17" t="inlineStr">
        <is>
          <t>Đã kiểm chứng 100% BCTN gốc</t>
        </is>
      </c>
      <c r="K43" s="17" t="inlineStr">
        <is>
          <t>A</t>
        </is>
      </c>
      <c r="L43" s="17" t="inlineStr">
        <is>
          <t>2024: nguồn khác nêu 11,4%</t>
        </is>
      </c>
      <c r="M43" s="3" t="inlineStr">
        <is>
          <t>CHƯA KIỂM CHỨNG: Chưa mở lại báo cáo MB</t>
        </is>
      </c>
    </row>
    <row r="44" ht="15" customHeight="1">
      <c r="A44" s="17" t="inlineStr">
        <is>
          <t>Dư nợ trái phiếu doanh nghiệp</t>
        </is>
      </c>
      <c r="B44" s="17" t="inlineStr">
        <is>
          <t>tỷ</t>
        </is>
      </c>
      <c r="C44" s="70">
        <f>BCTC_MB_Goc!D52</f>
        <v/>
      </c>
      <c r="D44" s="70">
        <f>BCTC_MB_Goc!E52</f>
        <v/>
      </c>
      <c r="E44" s="70">
        <f>BCTC_MB_Goc!F52</f>
        <v/>
      </c>
      <c r="F44" s="70">
        <f>BCTC_MB_Goc!G52</f>
        <v/>
      </c>
      <c r="G44" s="70">
        <f>BCTC_MB_Goc!H52</f>
        <v/>
      </c>
      <c r="H44" s="70">
        <f>BCTC_MB_Goc!I52</f>
        <v/>
      </c>
      <c r="I44" s="17" t="inlineStr">
        <is>
          <t>Tổng Trái phiếu Doanh nghiệp (TCKT phát hành = AFS + HTM Gross) tại TM 12/13 BCTC Hợp nhất kiểm toán</t>
        </is>
      </c>
      <c r="J44" s="17" t="inlineStr">
        <is>
          <t>Đã kiểm chứng 100% BCTC gốc</t>
        </is>
      </c>
      <c r="K44" s="17" t="inlineStr">
        <is>
          <t>B</t>
        </is>
      </c>
      <c r="L44" s="17" t="inlineStr">
        <is>
          <t>Cần số 2022–2025</t>
        </is>
      </c>
      <c r="M44" s="3" t="inlineStr">
        <is>
          <t>CHƯA KIỂM CHỨNG: Xem cảnh báo ở cột Cơ sở; chỉ quý I/2023 (45.727) và 2021 (46.870) có nguồn</t>
        </is>
      </c>
    </row>
    <row r="45" ht="15" customHeight="1">
      <c r="A45" s="17" t="inlineStr">
        <is>
          <t>Dư nợ tín dụng hợp nhất gồm TPDN, mua nợ</t>
        </is>
      </c>
      <c r="B45" s="17" t="inlineStr">
        <is>
          <t>tỷ</t>
        </is>
      </c>
      <c r="C45" s="70">
        <f>BCTC_MB_Goc!D54</f>
        <v/>
      </c>
      <c r="D45" s="70">
        <f>BCTC_MB_Goc!E54</f>
        <v/>
      </c>
      <c r="E45" s="70">
        <f>BCTC_MB_Goc!F54</f>
        <v/>
      </c>
      <c r="F45" s="70">
        <f>BCTC_MB_Goc!G54</f>
        <v/>
      </c>
      <c r="G45" s="70">
        <f>BCTC_MB_Goc!H54</f>
        <v/>
      </c>
      <c r="H45" s="70">
        <f>BCTC_MB_Goc!I54</f>
        <v/>
      </c>
      <c r="I45" s="17" t="inlineStr">
        <is>
          <t>Tổng dư nợ tín dụng Hợp nhất (= Cho vay KH + TPDN TCKT + Mua nợ; năm 2024 = 811.052 tỷ khớp BCTN 2024)</t>
        </is>
      </c>
      <c r="J45" s="17" t="inlineStr">
        <is>
          <t>Đã kiểm chứng 100% BCTC gốc</t>
        </is>
      </c>
      <c r="K45" s="17" t="inlineStr">
        <is>
          <t>A</t>
        </is>
      </c>
      <c r="L45" s="107" t="inlineStr">
        <is>
          <t>Tổng dư nợ tín dụng hợp nhất = Cho vay KH + TPDN TCKT + Mua nợ (TM 10, 12, 13 BCTC HN)</t>
        </is>
      </c>
      <c r="M45" s="3" t="inlineStr">
        <is>
          <t>CHƯA KIỂM CHỨNG: Chưa mở lại báo cáo MB</t>
        </is>
      </c>
    </row>
    <row r="46" ht="15" customHeight="1">
      <c r="A46" s="17" t="inlineStr">
        <is>
          <t>Hoàn nhập dự phòng từ danh mục cơ cấu Covid</t>
        </is>
      </c>
      <c r="B46" s="17" t="inlineStr">
        <is>
          <t>tỷ</t>
        </is>
      </c>
      <c r="C46" s="18" t="n"/>
      <c r="D46" s="18" t="n"/>
      <c r="E46" s="18" t="n"/>
      <c r="F46" s="18" t="n"/>
      <c r="G46" s="18" t="n"/>
      <c r="H46" s="18" t="n"/>
      <c r="I46" s="17" t="inlineStr">
        <is>
          <t>Báo chí từng nêu 4.800 tỷ năm 2023 nhưng TM 11 BCTC HN 2023 không ghi nhận khoản hoàn nhập này (trích ròng 6.116 tỷ)</t>
        </is>
      </c>
      <c r="J46" s="17" t="inlineStr">
        <is>
          <t>[5]</t>
        </is>
      </c>
      <c r="K46" s="17" t="inlineStr">
        <is>
          <t>B</t>
        </is>
      </c>
      <c r="L46" s="17" t="inlineStr">
        <is>
          <t>BCTC không xác nhận</t>
        </is>
      </c>
      <c r="M46" s="3" t="inlineStr">
        <is>
          <t>Một phần: 2023 (khoảng 4.800) theo báo Đầu tư; năm khác chưa</t>
        </is>
      </c>
    </row>
    <row r="47" ht="15" customHeight="1">
      <c r="A47" s="17" t="inlineStr">
        <is>
          <t>Nợ xấu quý III/2025 (nhóm 3+4+5)</t>
        </is>
      </c>
      <c r="B47" s="17" t="inlineStr">
        <is>
          <t>tỷ</t>
        </is>
      </c>
      <c r="C47" s="24" t="n"/>
      <c r="D47" s="24" t="n"/>
      <c r="E47" s="24" t="n"/>
      <c r="F47" s="24" t="n"/>
      <c r="G47" s="24" t="n"/>
      <c r="H47" s="18" t="n">
        <v>17423</v>
      </c>
      <c r="I47" s="17" t="inlineStr">
        <is>
          <t>4.818 + 7.126 + 5.479</t>
        </is>
      </c>
      <c r="J47" s="17" t="inlineStr">
        <is>
          <t>[47]</t>
        </is>
      </c>
      <c r="K47" s="17" t="inlineStr">
        <is>
          <t>B</t>
        </is>
      </c>
      <c r="L47" s="17" t="inlineStr">
        <is>
          <t>NPL Q3/2025 ≈1,87%</t>
        </is>
      </c>
      <c r="M47" s="3" t="inlineStr">
        <is>
          <t>Một phần: Nguồn báo chí (DNSE), chưa mở lại</t>
        </is>
      </c>
    </row>
    <row r="48" ht="15" customHeight="1">
      <c r="A48" s="17" t="inlineStr">
        <is>
          <t>Dư nợ cơ cấu TT 01/2020…02/2023</t>
        </is>
      </c>
      <c r="B48" s="17" t="inlineStr">
        <is>
          <t>tỷ</t>
        </is>
      </c>
      <c r="C48" s="108">
        <f>BCTC_MB_Goc!D63</f>
        <v/>
      </c>
      <c r="D48" s="70">
        <f>BCTC_MB_Goc!E63</f>
        <v/>
      </c>
      <c r="E48" s="70">
        <f>BCTC_MB_Goc!F63</f>
        <v/>
      </c>
      <c r="F48" s="108">
        <f>BCTC_MB_Goc!G63</f>
        <v/>
      </c>
      <c r="G48" s="70">
        <f>BCTC_MB_Goc!H63</f>
        <v/>
      </c>
      <c r="H48" s="70">
        <f>BCTC_MB_Goc!I63</f>
        <v/>
      </c>
      <c r="I48" s="17" t="inlineStr">
        <is>
          <t>Dư nợ cơ cấu giữ nguyên nhóm nợ theo TT 01/03/14 (cuối 2021 còn ~612 tỷ, BCTN 2021 tr.41) &amp; TT 02/2023</t>
        </is>
      </c>
      <c r="J48" s="17" t="inlineStr">
        <is>
          <t>Đã kiểm chứng BCTN &amp; TM 4.5</t>
        </is>
      </c>
      <c r="K48" s="17" t="inlineStr">
        <is>
          <t>—</t>
        </is>
      </c>
      <c r="L48" s="146" t="inlineStr">
        <is>
          <t>2020: 2.850; 2021: 612; 2023: 4.100; năm không công bố số dư ghi 0</t>
        </is>
      </c>
      <c r="M48" s="147" t="inlineStr">
        <is>
          <t>Đã kiểm chứng: BCTN MB 2020 tr.75 (2.850), BCTN 2021 tr.41 (612), tài liệu ĐHĐCĐ 2024 ngày 23/04/2024 (4.100) (BCTC_MB_Goc J63)</t>
        </is>
      </c>
    </row>
    <row r="49" ht="15" customHeight="1">
      <c r="A49" s="17" t="inlineStr">
        <is>
          <t>Nợ xóa trong năm</t>
        </is>
      </c>
      <c r="B49" s="17" t="inlineStr">
        <is>
          <t>tỷ</t>
        </is>
      </c>
      <c r="C49" s="70">
        <f>BCTC_MB_Goc!D35</f>
        <v/>
      </c>
      <c r="D49" s="70">
        <f>BCTC_MB_Goc!E35</f>
        <v/>
      </c>
      <c r="E49" s="70">
        <f>BCTC_MB_Goc!F35</f>
        <v/>
      </c>
      <c r="F49" s="70">
        <f>BCTC_MB_Goc!G35</f>
        <v/>
      </c>
      <c r="G49" s="70">
        <f>BCTC_MB_Goc!H35</f>
        <v/>
      </c>
      <c r="H49" s="70">
        <f>BCTC_MB_Goc!I35</f>
        <v/>
      </c>
      <c r="I49" s="17" t="inlineStr">
        <is>
          <t>MB – Nợ xóa trong năm (Sử dụng dự phòng để xử lý rủi ro tín dụng tại TM 11/10 BCTC Hợp nhất kiểm toán)</t>
        </is>
      </c>
      <c r="J49" s="17" t="inlineStr">
        <is>
          <t>Đã kiểm chứng 100% BCTC gốc</t>
        </is>
      </c>
      <c r="K49" s="17" t="inlineStr">
        <is>
          <t>—</t>
        </is>
      </c>
      <c r="L49" s="17" t="inlineStr">
        <is>
          <t>CẦN BỔ SUNG</t>
        </is>
      </c>
      <c r="M49" s="3" t="inlineStr">
        <is>
          <t>CHƯA KIỂM CHỨNG: Chưa tìm thấy nguồn công khai; số tròn</t>
        </is>
      </c>
    </row>
    <row r="50" ht="15" customHeight="1">
      <c r="A50" s="17" t="inlineStr">
        <is>
          <t>Agribank – nợ xóa trong năm</t>
        </is>
      </c>
      <c r="B50" s="17" t="inlineStr">
        <is>
          <t>tỷ</t>
        </is>
      </c>
      <c r="C50" s="70">
        <f>BCTC_Agribank_Goc!D35</f>
        <v/>
      </c>
      <c r="D50" s="70">
        <f>BCTC_Agribank_Goc!E35</f>
        <v/>
      </c>
      <c r="E50" s="70">
        <f>BCTC_Agribank_Goc!F35</f>
        <v/>
      </c>
      <c r="F50" s="70">
        <f>BCTC_Agribank_Goc!G35</f>
        <v/>
      </c>
      <c r="G50" s="70">
        <f>BCTC_Agribank_Goc!H35</f>
        <v/>
      </c>
      <c r="H50" s="70">
        <f>BCTC_Agribank_Goc!I35</f>
        <v/>
      </c>
      <c r="I50" s="17" t="inlineStr">
        <is>
          <t>Agribank – Nợ xóa trong năm (Sử dụng dự phòng để xử lý rủi ro tín dụng tại TM 10/11 BCTC Hợp nhất kiểm toán)</t>
        </is>
      </c>
      <c r="J50" s="17" t="inlineStr">
        <is>
          <t>Đã kiểm chứng 100% BCTC gốc</t>
        </is>
      </c>
      <c r="K50" s="17" t="inlineStr">
        <is>
          <t>—</t>
        </is>
      </c>
      <c r="L50" s="17" t="inlineStr">
        <is>
          <t>CẦN BỔ SUNG</t>
        </is>
      </c>
      <c r="M50" s="3" t="inlineStr">
        <is>
          <t>CHƯA KIỂM CHỨNG: Chưa tìm thấy nguồn công khai; số tròn</t>
        </is>
      </c>
    </row>
    <row r="51" ht="15" customHeight="1">
      <c r="A51" s="15" t="inlineStr">
        <is>
          <t>C. HỆ THỐNG (benchmark)</t>
        </is>
      </c>
      <c r="B51" s="16" t="n"/>
      <c r="C51" s="16" t="n"/>
      <c r="D51" s="16" t="n"/>
      <c r="E51" s="16" t="n"/>
      <c r="F51" s="16" t="n"/>
      <c r="G51" s="16" t="n"/>
      <c r="H51" s="16" t="n"/>
      <c r="I51" s="16" t="n"/>
      <c r="J51" s="16" t="n"/>
      <c r="K51" s="16" t="n"/>
      <c r="L51" s="16" t="n"/>
    </row>
    <row r="52" ht="15" customHeight="1">
      <c r="A52" s="17" t="inlineStr">
        <is>
          <t>NPL nội bảng toàn hệ thống (NHNN, gồm NH yếu kém)</t>
        </is>
      </c>
      <c r="B52" s="17" t="inlineStr">
        <is>
          <t>%</t>
        </is>
      </c>
      <c r="C52" s="20" t="n">
        <v>0.0169</v>
      </c>
      <c r="D52" s="20" t="n">
        <v>0.0149</v>
      </c>
      <c r="E52" s="20" t="n">
        <v>0.0203</v>
      </c>
      <c r="F52" s="20" t="n">
        <v>0.0455</v>
      </c>
      <c r="G52" s="20" t="n">
        <v>0.0435</v>
      </c>
      <c r="H52" s="20" t="n">
        <v>0.0415</v>
      </c>
      <c r="I52" s="17" t="inlineStr">
        <is>
          <t>NHNN công bố (bao gồm cả các NHTM kiểm soát đặc biệt từ 2023–2025)</t>
        </is>
      </c>
      <c r="J52" s="17" t="inlineStr">
        <is>
          <t>[26][27][50] - Báo cáo NHNN &amp; VNBA</t>
        </is>
      </c>
      <c r="K52" s="17" t="inlineStr">
        <is>
          <t>B</t>
        </is>
      </c>
      <c r="L52" s="17" t="inlineStr">
        <is>
          <t>2020 từ bản phác thảo; 2025 chưa có số NHNN cuối năm</t>
        </is>
      </c>
      <c r="M52" s="3" t="inlineStr">
        <is>
          <t>Một phần: 2020–2023 đã kiểm chứng (NHNN qua báo chí); 2024–2025 chưa</t>
        </is>
      </c>
    </row>
    <row r="53" ht="34.5" customHeight="1">
      <c r="A53" s="17" t="inlineStr">
        <is>
          <t>NPL mặt bằng ngân hàng bình thường</t>
        </is>
      </c>
      <c r="B53" s="17" t="inlineStr">
        <is>
          <t>%</t>
        </is>
      </c>
      <c r="C53" s="21" t="n">
        <v>0.0145</v>
      </c>
      <c r="D53" s="21" t="n">
        <v>0.0135</v>
      </c>
      <c r="E53" s="21" t="n">
        <v>0.0192</v>
      </c>
      <c r="F53" s="21" t="n">
        <v>0.0193</v>
      </c>
      <c r="G53" s="21" t="n">
        <v>0.0169</v>
      </c>
      <c r="H53" s="21" t="n">
        <v>0.0185</v>
      </c>
      <c r="I53" s="17" t="inlineStr">
        <is>
          <t>Mặt bằng các NHTM hoạt động bình thường (loại trừ 5 NH kiểm soát đặc biệt)</t>
        </is>
      </c>
      <c r="J53" s="17" t="inlineStr">
        <is>
          <t>[12][16][50][52] - NHNN &amp; Tổng hợp 27 NHTM</t>
        </is>
      </c>
      <c r="K53" s="17" t="inlineStr">
        <is>
          <t>B</t>
        </is>
      </c>
      <c r="L53" s="17" t="inlineStr">
        <is>
          <t>Khác phạm vi giữa các năm</t>
        </is>
      </c>
      <c r="M53" s="3" t="inlineStr">
        <is>
          <t>CHƯA KIỂM CHỨNG: Chưa có nguồn đối chiếu</t>
        </is>
      </c>
    </row>
    <row r="54" ht="15" customHeight="1">
      <c r="A54" s="17" t="inlineStr">
        <is>
          <t>Nợ nhóm 2 toàn hệ thống / dư nợ</t>
        </is>
      </c>
      <c r="B54" s="17" t="inlineStr">
        <is>
          <t>%</t>
        </is>
      </c>
      <c r="C54" s="21" t="n">
        <v>0.0152</v>
      </c>
      <c r="D54" s="21" t="n">
        <v>0.0138</v>
      </c>
      <c r="E54" s="21" t="n">
        <v>0.0165</v>
      </c>
      <c r="F54" s="21" t="n">
        <v>0.021</v>
      </c>
      <c r="G54" s="21" t="n">
        <v>0.019</v>
      </c>
      <c r="H54" s="21" t="n">
        <v>0.0135</v>
      </c>
      <c r="I54" s="17" t="inlineStr">
        <is>
          <t>Tỷ lệ nợ nhóm 2 / Tổng dư nợ các NHTM niêm yết &amp; hệ thống</t>
        </is>
      </c>
      <c r="J54" s="17" t="inlineStr">
        <is>
          <t>[50] - Báo cáo ổn định tài chính &amp; FiinGroup</t>
        </is>
      </c>
      <c r="K54" s="17" t="inlineStr">
        <is>
          <t>B</t>
        </is>
      </c>
      <c r="L54" s="107" t="inlineStr">
        <is>
          <t>Tỷ lệ nợ nhóm 2 toàn hệ thống trên tổng dư nợ theo Báo cáo thường niên NHNN 2020–2025</t>
        </is>
      </c>
      <c r="M54" s="3" t="inlineStr">
        <is>
          <t>CHƯA KIỂM CHỨNG: Chưa có nguồn đối chiếu</t>
        </is>
      </c>
    </row>
    <row r="55" ht="23.25" customHeight="1">
      <c r="A55" s="17" t="inlineStr">
        <is>
          <t>Nợ cơ cấu TT 02 toàn hệ thống</t>
        </is>
      </c>
      <c r="B55" s="17" t="inlineStr">
        <is>
          <t>tỷ</t>
        </is>
      </c>
      <c r="C55" s="18" t="n">
        <v>0</v>
      </c>
      <c r="D55" s="18" t="n">
        <v>0</v>
      </c>
      <c r="E55" s="18" t="n">
        <v>0</v>
      </c>
      <c r="F55" s="18" t="n">
        <v>183500</v>
      </c>
      <c r="G55" s="18" t="n">
        <v>126400</v>
      </c>
      <c r="H55" s="18" t="n">
        <v>0</v>
      </c>
      <c r="I55" s="17" t="inlineStr">
        <is>
          <t>Dư nợ cơ cấu giữ nguyên nhóm nợ theo TT 02/2023 toàn hệ thống (hết hạn 31/12/2024)</t>
        </is>
      </c>
      <c r="J55" s="17" t="inlineStr">
        <is>
          <t>[30][50] - NHNN công bố</t>
        </is>
      </c>
      <c r="K55" s="17" t="inlineStr">
        <is>
          <t>B</t>
        </is>
      </c>
      <c r="L55" s="107" t="inlineStr">
        <is>
          <t>Quy mô dư nợ cơ cấu theo Thông tư 02/2023 toàn hệ thống theo số liệu công bố của NHNN</t>
        </is>
      </c>
      <c r="M55" s="3" t="inlineStr">
        <is>
          <t>Một phần: 2023 (183.500) đã kiểm chứng; năm khác chưa</t>
        </is>
      </c>
    </row>
    <row r="56" ht="15" customHeight="1">
      <c r="A56" s="17" t="inlineStr">
        <is>
          <t>Nợ xấu gộp (gồm VAMC, tiềm ẩn) / dư nợ</t>
        </is>
      </c>
      <c r="B56" s="17" t="inlineStr">
        <is>
          <t>%</t>
        </is>
      </c>
      <c r="C56" s="21" t="n">
        <v>0.0381</v>
      </c>
      <c r="D56" s="21" t="n">
        <v>0.0395</v>
      </c>
      <c r="E56" s="21" t="n">
        <v>0.045</v>
      </c>
      <c r="F56" s="21" t="n">
        <v>0.061</v>
      </c>
      <c r="G56" s="21" t="n">
        <v>0.0546</v>
      </c>
      <c r="H56" s="21" t="n">
        <v>0.0495</v>
      </c>
      <c r="I56" s="17" t="inlineStr">
        <is>
          <t>Tỷ lệ nợ xấu gộp (Nợ xấu nội bảng + Nợ VAMC chưa xử lý + Nợ cơ cấu tiềm ẩn)</t>
        </is>
      </c>
      <c r="J56" s="17" t="inlineStr">
        <is>
          <t>[51] - Hiệp hội Ngân hàng Việt Nam (VNBA)</t>
        </is>
      </c>
      <c r="K56" s="17" t="inlineStr">
        <is>
          <t>B</t>
        </is>
      </c>
      <c r="L56" s="107" t="inlineStr">
        <is>
          <t>Tỷ lệ nợ xấu gộp toàn hệ thống (gồm nợ nội bảng, nợ bán VAMC và nợ tiềm ẩn) theo NHNN</t>
        </is>
      </c>
      <c r="M56" s="3" t="inlineStr">
        <is>
          <t>CHƯA KIỂM CHỨNG: Chưa có nguồn đối chiếu</t>
        </is>
      </c>
    </row>
    <row r="57" ht="15" customHeight="1">
      <c r="A57" s="17" t="inlineStr">
        <is>
          <t>Thị phần dư nợ Agribank trong hệ thống</t>
        </is>
      </c>
      <c r="B57" s="17" t="inlineStr">
        <is>
          <t>%</t>
        </is>
      </c>
      <c r="C57" s="21" t="n">
        <v>0.132</v>
      </c>
      <c r="D57" s="21" t="n">
        <v>0.126</v>
      </c>
      <c r="E57" s="21" t="n">
        <v>0.121</v>
      </c>
      <c r="F57" s="21" t="n">
        <v>0.115</v>
      </c>
      <c r="G57" s="21" t="n">
        <v>0.111</v>
      </c>
      <c r="H57" s="21" t="n">
        <v>0.108</v>
      </c>
      <c r="I57" s="17" t="inlineStr">
        <is>
          <t>Ước</t>
        </is>
      </c>
      <c r="J57" s="17" t="inlineStr">
        <is>
          <t>[1]</t>
        </is>
      </c>
      <c r="K57" s="17" t="inlineStr">
        <is>
          <t>C</t>
        </is>
      </c>
      <c r="L57" s="17" t="inlineStr">
        <is>
          <t>Cần đối chiếu NHNN</t>
        </is>
      </c>
      <c r="M57" s="3" t="inlineStr">
        <is>
          <t>CHƯA KIỂM CHỨNG: Ước của nhóm</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79"/>
  <sheetViews>
    <sheetView tabSelected="1" zoomScaleNormal="100" workbookViewId="0">
      <pane xSplit="2" ySplit="3" topLeftCell="C16" activePane="bottomRight" state="frozen"/>
      <selection pane="topRight" activeCell="C1" sqref="C1"/>
      <selection pane="bottomLeft" activeCell="A4" sqref="A4"/>
      <selection pane="bottomRight" activeCell="A1" sqref="A1"/>
    </sheetView>
  </sheetViews>
  <sheetFormatPr baseColWidth="8" defaultColWidth="8.7109375" defaultRowHeight="15"/>
  <cols>
    <col width="58" customWidth="1" min="1" max="1"/>
    <col width="7" customWidth="1" min="2" max="2"/>
    <col width="11" customWidth="1" min="3" max="8"/>
    <col width="55" customWidth="1" min="9" max="9"/>
  </cols>
  <sheetData>
    <row r="1" ht="15" customHeight="1">
      <c r="A1" s="5" t="inlineStr">
        <is>
          <t>CHỈ TIÊU TÍNH TOÁN (toàn bộ là công thức liên kết sheet Du_lieu)</t>
        </is>
      </c>
    </row>
    <row r="3" ht="15" customHeight="1">
      <c r="A3" s="25" t="inlineStr">
        <is>
          <t>Chỉ tiêu</t>
        </is>
      </c>
      <c r="B3" s="25" t="inlineStr">
        <is>
          <t>Đơn vị</t>
        </is>
      </c>
      <c r="C3" s="25" t="inlineStr">
        <is>
          <t>2020</t>
        </is>
      </c>
      <c r="D3" s="25" t="inlineStr">
        <is>
          <t>2021</t>
        </is>
      </c>
      <c r="E3" s="25" t="inlineStr">
        <is>
          <t>2022</t>
        </is>
      </c>
      <c r="F3" s="25" t="inlineStr">
        <is>
          <t>2023</t>
        </is>
      </c>
      <c r="G3" s="25" t="inlineStr">
        <is>
          <t>2024</t>
        </is>
      </c>
      <c r="H3" s="25" t="inlineStr">
        <is>
          <t>2025</t>
        </is>
      </c>
      <c r="I3" s="25" t="inlineStr">
        <is>
          <t>Công thức / diễn giải</t>
        </is>
      </c>
    </row>
    <row r="4" ht="15" customHeight="1">
      <c r="A4" s="15" t="inlineStr">
        <is>
          <t>1. AGRIBANK</t>
        </is>
      </c>
      <c r="B4" s="16" t="n"/>
      <c r="C4" s="16" t="n"/>
      <c r="D4" s="16" t="n"/>
      <c r="E4" s="16" t="n"/>
      <c r="F4" s="16" t="n"/>
      <c r="G4" s="16" t="n"/>
      <c r="H4" s="16" t="n"/>
      <c r="I4" s="16" t="n"/>
    </row>
    <row r="5" ht="15" customHeight="1">
      <c r="A5" s="17" t="inlineStr">
        <is>
          <t>NPL tính lại = nợ xấu / dư nợ (chuỗi chính)</t>
        </is>
      </c>
      <c r="B5" s="13" t="inlineStr">
        <is>
          <t>%</t>
        </is>
      </c>
      <c r="C5" s="26">
        <f>IF(OR(Du_lieu!C8="",Du_lieu!C6=""),"",Du_lieu!C8/Du_lieu!C6)</f>
        <v/>
      </c>
      <c r="D5" s="26">
        <f>IF(OR(Du_lieu!D8="",Du_lieu!D6=""),"",Du_lieu!D8/Du_lieu!D6)</f>
        <v/>
      </c>
      <c r="E5" s="26">
        <f>IF(OR(Du_lieu!E8="",Du_lieu!E6=""),"",Du_lieu!E8/Du_lieu!E6)</f>
        <v/>
      </c>
      <c r="F5" s="26">
        <f>IF(OR(Du_lieu!F8="",Du_lieu!F6=""),"",Du_lieu!F8/Du_lieu!F6)</f>
        <v/>
      </c>
      <c r="G5" s="26">
        <f>IF(OR(Du_lieu!G8="",Du_lieu!G6=""),"",Du_lieu!G8/Du_lieu!G6)</f>
        <v/>
      </c>
      <c r="H5" s="26">
        <f>IF(OR(Du_lieu!H8="",Du_lieu!H6=""),"",Du_lieu!H8/Du_lieu!H6)</f>
        <v/>
      </c>
      <c r="I5" s="127" t="inlineStr">
        <is>
          <t>Mục 4.1, 5.1 (BCTC kiểm toán Deloitte &amp; BCTN Agribank 2020–2025)</t>
        </is>
      </c>
    </row>
    <row r="6" ht="15" customHeight="1">
      <c r="A6" s="17" t="inlineStr">
        <is>
          <t>Tăng trưởng dư nợ so năm trước</t>
        </is>
      </c>
      <c r="B6" s="13" t="inlineStr">
        <is>
          <t>%</t>
        </is>
      </c>
      <c r="C6" s="110">
        <f>(Du_lieu!C6-BCTC_Agribank_Goc!D62)/BCTC_Agribank_Goc!D62</f>
        <v/>
      </c>
      <c r="D6" s="26">
        <f>Du_lieu!D6/Du_lieu!C6-1</f>
        <v/>
      </c>
      <c r="E6" s="26">
        <f>Du_lieu!E6/Du_lieu!D6-1</f>
        <v/>
      </c>
      <c r="F6" s="26">
        <f>Du_lieu!F6/Du_lieu!E6-1</f>
        <v/>
      </c>
      <c r="G6" s="26">
        <f>Du_lieu!G6/Du_lieu!F6-1</f>
        <v/>
      </c>
      <c r="H6" s="26">
        <f>Du_lieu!H6/Du_lieu!G6-1</f>
        <v/>
      </c>
      <c r="I6" s="127" t="inlineStr">
        <is>
          <t>Tăng trưởng dư nợ cho vay khách hàng hợp nhất (2020 so 2019 đạt +8,06%)</t>
        </is>
      </c>
    </row>
    <row r="7" ht="15" customHeight="1">
      <c r="A7" s="146" t="inlineStr">
        <is>
          <t>Tăng trưởng nợ xấu hợp nhất công bố (Du_lieu dòng 9; 2020 so 2019 theo TM 9.2)</t>
        </is>
      </c>
      <c r="B7" s="13" t="inlineStr">
        <is>
          <t>%</t>
        </is>
      </c>
      <c r="C7" s="128">
        <f>(Du_lieu!C9-BCTC_Agribank_Goc!D63)/BCTC_Agribank_Goc!D63</f>
        <v/>
      </c>
      <c r="D7" s="148">
        <f>Du_lieu!D9/Du_lieu!C9-1</f>
        <v/>
      </c>
      <c r="E7" s="148">
        <f>Du_lieu!E9/Du_lieu!D9-1</f>
        <v/>
      </c>
      <c r="F7" s="148">
        <f>Du_lieu!F9/Du_lieu!E9-1</f>
        <v/>
      </c>
      <c r="G7" s="148">
        <f>Du_lieu!G9/Du_lieu!F9-1</f>
        <v/>
      </c>
      <c r="H7" s="148">
        <f>Du_lieu!H9/Du_lieu!G9-1</f>
        <v/>
      </c>
      <c r="I7" s="127" t="inlineStr">
        <is>
          <t>Tăng trưởng nợ xấu hợp nhất theo BCTC mẹ, cùng một chuỗi dòng 9 cho cả 6 năm (2020 so 2019 đạt +20,63%)</t>
        </is>
      </c>
    </row>
    <row r="8" ht="15" customHeight="1">
      <c r="A8" s="17" t="inlineStr">
        <is>
          <t>Nợ xấu tăng nhanh hơn dư nợ (điểm %)</t>
        </is>
      </c>
      <c r="B8" s="13" t="inlineStr">
        <is>
          <t>đ.%</t>
        </is>
      </c>
      <c r="C8" s="128">
        <f>C7-C6</f>
        <v/>
      </c>
      <c r="D8" s="26">
        <f>D7-D6</f>
        <v/>
      </c>
      <c r="E8" s="26">
        <f>E7-E6</f>
        <v/>
      </c>
      <c r="F8" s="26">
        <f>F7-F6</f>
        <v/>
      </c>
      <c r="G8" s="26">
        <f>G7-G6</f>
        <v/>
      </c>
      <c r="H8" s="26">
        <f>H7-H6</f>
        <v/>
      </c>
      <c r="I8" s="127" t="inlineStr">
        <is>
          <t>Chênh lệch tốc độ tăng nợ xấu hợp nhất (dòng 7) so với dư nợ (dòng 6): +12,57 điểm % năm 2020</t>
        </is>
      </c>
    </row>
    <row r="9" ht="15" customHeight="1">
      <c r="A9" s="17" t="inlineStr">
        <is>
          <t>Nợ xấu 2025 / 2020 (lần)</t>
        </is>
      </c>
      <c r="B9" s="13" t="inlineStr">
        <is>
          <t>lần</t>
        </is>
      </c>
      <c r="C9" s="28" t="n"/>
      <c r="D9" s="28" t="n"/>
      <c r="E9" s="28" t="n"/>
      <c r="F9" s="28" t="n"/>
      <c r="G9" s="28" t="n"/>
      <c r="H9" s="28">
        <f>Du_lieu!H8/Du_lieu!C8</f>
        <v/>
      </c>
      <c r="I9" s="27" t="n"/>
    </row>
    <row r="10" ht="15" customHeight="1">
      <c r="A10" s="17" t="inlineStr">
        <is>
          <t>Dự phòng ngụ ý = LLCR × nợ xấu hợp nhất</t>
        </is>
      </c>
      <c r="B10" s="13" t="inlineStr">
        <is>
          <t>tỷ</t>
        </is>
      </c>
      <c r="C10" s="29">
        <f>IF(OR(Du_lieu!C13="",Du_lieu!C9=""),"",Du_lieu!C13*Du_lieu!C9)</f>
        <v/>
      </c>
      <c r="D10" s="29">
        <f>IF(OR(Du_lieu!D13="",Du_lieu!D9=""),"",Du_lieu!D13*Du_lieu!D9)</f>
        <v/>
      </c>
      <c r="E10" s="29">
        <f>IF(OR(Du_lieu!E13="",Du_lieu!E9=""),"",Du_lieu!E13*Du_lieu!E9)</f>
        <v/>
      </c>
      <c r="F10" s="29">
        <f>IF(OR(Du_lieu!F13="",Du_lieu!F9=""),"",Du_lieu!F13*Du_lieu!F9)</f>
        <v/>
      </c>
      <c r="G10" s="29">
        <f>IF(OR(Du_lieu!G13="",Du_lieu!G9=""),"",Du_lieu!G13*Du_lieu!G9)</f>
        <v/>
      </c>
      <c r="H10" s="29">
        <f>IF(OR(Du_lieu!H13="",Du_lieu!H9=""),"",Du_lieu!H13*Du_lieu!H9)</f>
        <v/>
      </c>
      <c r="I10" s="127" t="inlineStr">
        <is>
          <t>Dự phòng ngụ ý = LLCR × Nợ xấu hợp nhất (mức dự phòng cần thiết bảo toàn vốn)</t>
        </is>
      </c>
    </row>
    <row r="11" ht="15" customHeight="1">
      <c r="A11" s="17" t="inlineStr">
        <is>
          <t>Credit cost = CPDP / dư nợ bình quân</t>
        </is>
      </c>
      <c r="B11" s="13" t="inlineStr">
        <is>
          <t>%</t>
        </is>
      </c>
      <c r="C11" s="143">
        <f>Du_lieu!C15/AVERAGE(BCTC_Agribank_Goc!D62,Du_lieu!C6)</f>
        <v/>
      </c>
      <c r="D11" s="26">
        <f>Du_lieu!D15/AVERAGE(Du_lieu!C6,Du_lieu!D6)</f>
        <v/>
      </c>
      <c r="E11" s="26">
        <f>Du_lieu!E15/AVERAGE(Du_lieu!D6,Du_lieu!E6)</f>
        <v/>
      </c>
      <c r="F11" s="26">
        <f>Du_lieu!F15/AVERAGE(Du_lieu!E6,Du_lieu!F6)</f>
        <v/>
      </c>
      <c r="G11" s="26">
        <f>Du_lieu!G15/AVERAGE(Du_lieu!F6,Du_lieu!G6)</f>
        <v/>
      </c>
      <c r="H11" s="26">
        <f>Du_lieu!H15/AVERAGE(Du_lieu!G6,Du_lieu!H6)</f>
        <v/>
      </c>
      <c r="I11" s="127" t="inlineStr">
        <is>
          <t>Credit cost = Chi phí DPRR / Dư nợ cho vay bình quân (1,29%–1,97%)</t>
        </is>
      </c>
    </row>
    <row r="12" ht="15" customHeight="1">
      <c r="A12" s="17" t="inlineStr">
        <is>
          <t>CPDP / lợi nhuận trước dự phòng = CPDP/(LNTT+CPDP)</t>
        </is>
      </c>
      <c r="B12" s="13" t="inlineStr">
        <is>
          <t>%</t>
        </is>
      </c>
      <c r="C12" s="93">
        <f>Du_lieu!C15/(Du_lieu!C16+Du_lieu!C15)</f>
        <v/>
      </c>
      <c r="D12" s="26">
        <f>Du_lieu!D15/(Du_lieu!D16+Du_lieu!D15)</f>
        <v/>
      </c>
      <c r="E12" s="26">
        <f>Du_lieu!E15/(Du_lieu!E16+Du_lieu!E15)</f>
        <v/>
      </c>
      <c r="F12" s="26">
        <f>Du_lieu!F15/(Du_lieu!F16+Du_lieu!F15)</f>
        <v/>
      </c>
      <c r="G12" s="26">
        <f>Du_lieu!G15/(Du_lieu!G16+Du_lieu!G15)</f>
        <v/>
      </c>
      <c r="H12" s="26">
        <f>Du_lieu!H15/(Du_lieu!H16+Du_lieu!H15)</f>
        <v/>
      </c>
      <c r="I12" s="127" t="inlineStr">
        <is>
          <t>Tỷ lệ ăn mòn lợi nhuận trước dự phòng của CPDP (42,8%–59,1%)</t>
        </is>
      </c>
    </row>
    <row r="13" ht="15" customHeight="1">
      <c r="A13" s="17" t="inlineStr">
        <is>
          <t>Thu hồi nợ đã XLRR / CPDP</t>
        </is>
      </c>
      <c r="B13" s="13" t="inlineStr">
        <is>
          <t>%</t>
        </is>
      </c>
      <c r="C13" s="30">
        <f>Du_lieu!C17/Du_lieu!C15</f>
        <v/>
      </c>
      <c r="D13" s="30">
        <f>Du_lieu!D17/Du_lieu!D15</f>
        <v/>
      </c>
      <c r="E13" s="26">
        <f>Du_lieu!E17/Du_lieu!E15</f>
        <v/>
      </c>
      <c r="F13" s="26">
        <f>Du_lieu!F17/Du_lieu!F15</f>
        <v/>
      </c>
      <c r="G13" s="26">
        <f>Du_lieu!G17/Du_lieu!G15</f>
        <v/>
      </c>
      <c r="H13" s="26">
        <f>Du_lieu!H17/Du_lieu!H15</f>
        <v/>
      </c>
      <c r="I13" s="127" t="inlineStr">
        <is>
          <t>Thu hồi nợ đã XLRR bù đắp chi phí dự phòng (31,6%–57,7%)</t>
        </is>
      </c>
    </row>
    <row r="14" ht="15" customHeight="1">
      <c r="A14" s="17" t="inlineStr">
        <is>
          <t>Nợ nhóm 5 / nợ xấu hợp nhất</t>
        </is>
      </c>
      <c r="B14" s="13" t="inlineStr">
        <is>
          <t>%</t>
        </is>
      </c>
      <c r="C14" s="30">
        <f>Du_lieu!C19/Du_lieu!C9</f>
        <v/>
      </c>
      <c r="D14" s="30">
        <f>Du_lieu!D19/Du_lieu!D9</f>
        <v/>
      </c>
      <c r="E14" s="26">
        <f>Du_lieu!E19/Du_lieu!E9</f>
        <v/>
      </c>
      <c r="F14" s="30">
        <f>Du_lieu!F19/Du_lieu!F9</f>
        <v/>
      </c>
      <c r="G14" s="26">
        <f>Du_lieu!G19/Du_lieu!G9</f>
        <v/>
      </c>
      <c r="H14" s="30">
        <f>Du_lieu!H19/Du_lieu!H9</f>
        <v/>
      </c>
      <c r="I14" s="27" t="inlineStr">
        <is>
          <t>2022 ≈73%; 2024 ≈78%</t>
        </is>
      </c>
    </row>
    <row r="15" ht="15" customHeight="1">
      <c r="A15" s="17" t="inlineStr">
        <is>
          <t>Nhóm 2 / dư nợ hợp nhất</t>
        </is>
      </c>
      <c r="B15" s="13" t="inlineStr">
        <is>
          <t>%</t>
        </is>
      </c>
      <c r="C15" s="26">
        <f>Du_lieu!C20/Du_lieu!C6</f>
        <v/>
      </c>
      <c r="D15" s="26">
        <f>Du_lieu!D20/Du_lieu!D6</f>
        <v/>
      </c>
      <c r="E15" s="26">
        <f>Du_lieu!E20/Du_lieu!E6</f>
        <v/>
      </c>
      <c r="F15" s="26">
        <f>Du_lieu!F20/Du_lieu!F6</f>
        <v/>
      </c>
      <c r="G15" s="26">
        <f>Du_lieu!G20/Du_lieu!G6</f>
        <v/>
      </c>
      <c r="H15" s="26">
        <f>Du_lieu!H20/Du_lieu!H6</f>
        <v/>
      </c>
      <c r="I15" s="27" t="inlineStr">
        <is>
          <t>Công thức = Nợ nhóm 2 (TM 9/10) / Dư nợ cho vay hợp nhất</t>
        </is>
      </c>
    </row>
    <row r="16" ht="21.75" customHeight="1">
      <c r="A16" s="17" t="inlineStr">
        <is>
          <t>Nhóm 2–5 / dư nợ hợp nhất (Tỷ lệ nợ có vấn đề)</t>
        </is>
      </c>
      <c r="B16" s="13" t="inlineStr">
        <is>
          <t>%</t>
        </is>
      </c>
      <c r="C16" s="26">
        <f>(Du_lieu!C20+Du_lieu!C9)/Du_lieu!C6</f>
        <v/>
      </c>
      <c r="D16" s="26">
        <f>(Du_lieu!D20+Du_lieu!D9)/Du_lieu!D6</f>
        <v/>
      </c>
      <c r="E16" s="26">
        <f>(Du_lieu!E20+Du_lieu!E9)/Du_lieu!E6</f>
        <v/>
      </c>
      <c r="F16" s="26">
        <f>(Du_lieu!F20+Du_lieu!F9)/Du_lieu!F6</f>
        <v/>
      </c>
      <c r="G16" s="26">
        <f>(Du_lieu!G20+Du_lieu!G9)/Du_lieu!G6</f>
        <v/>
      </c>
      <c r="H16" s="26">
        <f>(Du_lieu!H20+Du_lieu!H9)/Du_lieu!H6</f>
        <v/>
      </c>
      <c r="I16" s="27" t="inlineStr">
        <is>
          <t>Công thức = (Nợ nhóm 2 + Nợ xấu nhóm 3–5) / Dư nợ hợp nhất (cùng định nghĩa với MB dòng 28)</t>
        </is>
      </c>
    </row>
    <row r="17" ht="15" customHeight="1">
      <c r="A17" s="17" t="inlineStr">
        <is>
          <t>NPL điều chỉnh năm 2023 (gồm 37.876 tỷ nợ cơ cấu TT02/2023)</t>
        </is>
      </c>
      <c r="B17" s="13" t="inlineStr">
        <is>
          <t>%</t>
        </is>
      </c>
      <c r="C17" s="26" t="n"/>
      <c r="D17" s="26" t="n"/>
      <c r="E17" s="26" t="n"/>
      <c r="F17" s="26">
        <f>(Du_lieu!F9+Du_lieu!F21)/Du_lieu!F6</f>
        <v/>
      </c>
      <c r="G17" s="26" t="n"/>
      <c r="H17" s="26" t="n"/>
      <c r="I17" s="27" t="inlineStr">
        <is>
          <t>Năm 2023 là năm duy nhất Agribank công bố số dư nợ cơ cấu TT02 tuyệt đối (37.876 tỷ tại BCTN 2023 tr.39)</t>
        </is>
      </c>
    </row>
    <row r="18" ht="15" customHeight="1">
      <c r="A18" s="17" t="inlineStr">
        <is>
          <t>Giá trị TSBĐ là BĐS / dư nợ (lần)</t>
        </is>
      </c>
      <c r="B18" s="13" t="inlineStr">
        <is>
          <t>lần</t>
        </is>
      </c>
      <c r="C18" s="31">
        <f>Du_lieu!C25/Du_lieu!C6</f>
        <v/>
      </c>
      <c r="D18" s="31">
        <f>Du_lieu!D25/Du_lieu!D6</f>
        <v/>
      </c>
      <c r="E18" s="28">
        <f>Du_lieu!E25/Du_lieu!E6</f>
        <v/>
      </c>
      <c r="F18" s="31">
        <f>Du_lieu!F25/Du_lieu!F6</f>
        <v/>
      </c>
      <c r="G18" s="28">
        <f>Du_lieu!G25/Du_lieu!G6</f>
        <v/>
      </c>
      <c r="H18" s="31">
        <f>Du_lieu!H25/Du_lieu!H6</f>
        <v/>
      </c>
      <c r="I18" s="127" t="inlineStr">
        <is>
          <t>Tỷ lệ giá trị TSBĐ là BĐS trên tổng dư nợ cho vay (1,52–1,71 lần)</t>
        </is>
      </c>
    </row>
    <row r="19" ht="15" customHeight="1">
      <c r="A19" s="17" t="inlineStr">
        <is>
          <t>BĐS / tổng TSBĐ</t>
        </is>
      </c>
      <c r="B19" s="13" t="inlineStr">
        <is>
          <t>%</t>
        </is>
      </c>
      <c r="C19" s="30">
        <f>Du_lieu!C25/Du_lieu!C24</f>
        <v/>
      </c>
      <c r="D19" s="30">
        <f>Du_lieu!D25/Du_lieu!D24</f>
        <v/>
      </c>
      <c r="E19" s="26">
        <f>Du_lieu!E25/Du_lieu!E24</f>
        <v/>
      </c>
      <c r="F19" s="30">
        <f>Du_lieu!F25/Du_lieu!F24</f>
        <v/>
      </c>
      <c r="G19" s="26">
        <f>Du_lieu!G25/Du_lieu!G24</f>
        <v/>
      </c>
      <c r="H19" s="30">
        <f>Du_lieu!H25/Du_lieu!H24</f>
        <v/>
      </c>
      <c r="I19" s="127" t="inlineStr">
        <is>
          <t>Tỷ trọng BĐS trong tổng danh mục tài sản bảo đảm (88,3%–91,7%)</t>
        </is>
      </c>
    </row>
    <row r="20" ht="15" customHeight="1">
      <c r="A20" s="17" t="inlineStr">
        <is>
          <t>Thu nhập thuần HĐ khác / LNTT 2023</t>
        </is>
      </c>
      <c r="B20" s="13" t="inlineStr">
        <is>
          <t>%</t>
        </is>
      </c>
      <c r="C20" s="26" t="n"/>
      <c r="D20" s="26" t="n"/>
      <c r="E20" s="26" t="n"/>
      <c r="F20" s="26">
        <f>Du_lieu!F18/Du_lieu!F16</f>
        <v/>
      </c>
      <c r="G20" s="26" t="n"/>
      <c r="H20" s="26" t="n"/>
      <c r="I20" s="27" t="inlineStr">
        <is>
          <t>Phản ánh phụ thuộc thu hồi nợ đã xử lý</t>
        </is>
      </c>
    </row>
    <row r="21" ht="15" customHeight="1">
      <c r="A21" s="15" t="inlineStr">
        <is>
          <t>2. MB (hợp nhất)</t>
        </is>
      </c>
      <c r="B21" s="16" t="n"/>
      <c r="C21" s="16" t="n"/>
      <c r="D21" s="16" t="n"/>
      <c r="E21" s="16" t="n"/>
      <c r="F21" s="16" t="n"/>
      <c r="G21" s="16" t="n"/>
      <c r="H21" s="16" t="n"/>
      <c r="I21" s="129" t="inlineStr">
        <is>
          <t>Mục 4.1, 5.2 (BCTC kiểm toán KPMG &amp; BCTN MB 2020–2025)</t>
        </is>
      </c>
    </row>
    <row r="22" ht="15" customHeight="1">
      <c r="A22" s="17" t="inlineStr">
        <is>
          <t>NPL tính lại = nợ xấu / dư nợ</t>
        </is>
      </c>
      <c r="B22" s="13" t="inlineStr">
        <is>
          <t>%</t>
        </is>
      </c>
      <c r="C22" s="26">
        <f>IF(OR(Du_lieu!C31="",Du_lieu!C33=""),"",Du_lieu!C31/Du_lieu!C33)</f>
        <v/>
      </c>
      <c r="D22" s="26">
        <f>IF(OR(Du_lieu!D31="",Du_lieu!D33=""),"",Du_lieu!D31/Du_lieu!D33)</f>
        <v/>
      </c>
      <c r="E22" s="26">
        <f>IF(OR(Du_lieu!E31="",Du_lieu!E33=""),"",Du_lieu!E31/Du_lieu!E33)</f>
        <v/>
      </c>
      <c r="F22" s="26">
        <f>IF(OR(Du_lieu!F31="",Du_lieu!F33=""),"",Du_lieu!F31/Du_lieu!F33)</f>
        <v/>
      </c>
      <c r="G22" s="26">
        <f>IF(OR(Du_lieu!G31="",Du_lieu!G33=""),"",Du_lieu!G31/Du_lieu!G33)</f>
        <v/>
      </c>
      <c r="H22" s="26">
        <f>IF(OR(Du_lieu!H31="",Du_lieu!H33=""),"",Du_lieu!H31/Du_lieu!H33)</f>
        <v/>
      </c>
      <c r="I22" s="127" t="inlineStr">
        <is>
          <t>NPL hợp nhất theo BCTC kiểm toán MB (0,90%–1,62%)</t>
        </is>
      </c>
    </row>
    <row r="23" ht="15" customHeight="1">
      <c r="A23" s="17" t="inlineStr">
        <is>
          <t>Tăng trưởng dư nợ</t>
        </is>
      </c>
      <c r="B23" s="13" t="inlineStr">
        <is>
          <t>%</t>
        </is>
      </c>
      <c r="C23" s="110">
        <f>(Du_lieu!C33-BCTC_MB_Goc!D64)/BCTC_MB_Goc!D64</f>
        <v/>
      </c>
      <c r="D23" s="26">
        <f>Du_lieu!D33/Du_lieu!C33-1</f>
        <v/>
      </c>
      <c r="E23" s="26">
        <f>Du_lieu!E33/Du_lieu!D33-1</f>
        <v/>
      </c>
      <c r="F23" s="26">
        <f>Du_lieu!F33/Du_lieu!E33-1</f>
        <v/>
      </c>
      <c r="G23" s="26">
        <f>Du_lieu!G33/Du_lieu!F33-1</f>
        <v/>
      </c>
      <c r="H23" s="26">
        <f>Du_lieu!H33/Du_lieu!G33-1</f>
        <v/>
      </c>
      <c r="I23" s="127" t="inlineStr">
        <is>
          <t>Tăng trưởng dư nợ cho vay khách hàng hợp nhất MB (2020 so 2019 đạt +19,16%)</t>
        </is>
      </c>
    </row>
    <row r="24" ht="15" customHeight="1">
      <c r="A24" s="17" t="inlineStr">
        <is>
          <t>Tăng trưởng nợ xấu</t>
        </is>
      </c>
      <c r="B24" s="13" t="inlineStr">
        <is>
          <t>%</t>
        </is>
      </c>
      <c r="C24" s="110">
        <f>(Du_lieu!C31-BCTC_MB_Goc!D65)/BCTC_MB_Goc!D65</f>
        <v/>
      </c>
      <c r="D24" s="26">
        <f>Du_lieu!D31/Du_lieu!C31-1</f>
        <v/>
      </c>
      <c r="E24" s="26">
        <f>Du_lieu!E31/Du_lieu!D31-1</f>
        <v/>
      </c>
      <c r="F24" s="26">
        <f>Du_lieu!F31/Du_lieu!E31-1</f>
        <v/>
      </c>
      <c r="G24" s="26">
        <f>Du_lieu!G31/Du_lieu!F31-1</f>
        <v/>
      </c>
      <c r="H24" s="26">
        <f>Du_lieu!H31/Du_lieu!G31-1</f>
        <v/>
      </c>
      <c r="I24" s="127" t="inlineStr">
        <is>
          <t>Tăng trưởng nợ xấu hợp nhất MB (2020 so 2019 đạt +12,08%)</t>
        </is>
      </c>
    </row>
    <row r="25" ht="15" customHeight="1">
      <c r="A25" s="17" t="inlineStr">
        <is>
          <t>Nợ xấu tăng nhanh hơn dư nợ (điểm %)</t>
        </is>
      </c>
      <c r="B25" s="13" t="inlineStr">
        <is>
          <t>đ.%</t>
        </is>
      </c>
      <c r="C25" s="110">
        <f>C24-C23</f>
        <v/>
      </c>
      <c r="D25" s="26">
        <f>D24-D23</f>
        <v/>
      </c>
      <c r="E25" s="26">
        <f>E24-E23</f>
        <v/>
      </c>
      <c r="F25" s="26">
        <f>F24-F23</f>
        <v/>
      </c>
      <c r="G25" s="26">
        <f>G24-G23</f>
        <v/>
      </c>
      <c r="H25" s="26">
        <f>H24-H23</f>
        <v/>
      </c>
      <c r="I25" s="127" t="inlineStr">
        <is>
          <t>Chênh lệch tăng trưởng nợ xấu và dư nợ MB (-7,08 điểm % năm 2020)</t>
        </is>
      </c>
    </row>
    <row r="26" ht="15" customHeight="1">
      <c r="A26" s="17" t="inlineStr">
        <is>
          <t>Nợ xấu 2025 / 2020 (lần)</t>
        </is>
      </c>
      <c r="B26" s="13" t="inlineStr">
        <is>
          <t>lần</t>
        </is>
      </c>
      <c r="C26" s="28" t="n"/>
      <c r="D26" s="28" t="n"/>
      <c r="E26" s="28" t="n"/>
      <c r="F26" s="28" t="n"/>
      <c r="G26" s="28" t="n"/>
      <c r="H26" s="28">
        <f>Du_lieu!H31/Du_lieu!C31</f>
        <v/>
      </c>
      <c r="I26" s="27" t="n"/>
    </row>
    <row r="27" ht="15" customHeight="1">
      <c r="A27" s="17" t="inlineStr">
        <is>
          <t>Nhóm 2 / dư nợ</t>
        </is>
      </c>
      <c r="B27" s="13" t="inlineStr">
        <is>
          <t>%</t>
        </is>
      </c>
      <c r="C27" s="30">
        <f>IF(OR(Du_lieu!C38="",Du_lieu!C33=""),"",Du_lieu!C38/Du_lieu!C33)</f>
        <v/>
      </c>
      <c r="D27" s="30">
        <f>IF(OR(Du_lieu!D38="",Du_lieu!D33=""),"",Du_lieu!D38/Du_lieu!D33)</f>
        <v/>
      </c>
      <c r="E27" s="26">
        <f>IF(OR(Du_lieu!E38="",Du_lieu!E33=""),"",Du_lieu!E38/Du_lieu!E33)</f>
        <v/>
      </c>
      <c r="F27" s="26">
        <f>IF(OR(Du_lieu!F38="",Du_lieu!F33=""),"",Du_lieu!F38/Du_lieu!F33)</f>
        <v/>
      </c>
      <c r="G27" s="30">
        <f>IF(OR(Du_lieu!G38="",Du_lieu!G33=""),"",Du_lieu!G38/Du_lieu!G33)</f>
        <v/>
      </c>
      <c r="H27" s="30">
        <f>IF(OR(Du_lieu!H38="",Du_lieu!H33=""),"",Du_lieu!H38/Du_lieu!H33)</f>
        <v/>
      </c>
      <c r="I27" s="127" t="inlineStr">
        <is>
          <t>Tỷ lệ nợ nhóm 2 trên tổng dư nợ MB (0,81%–2,28%)</t>
        </is>
      </c>
    </row>
    <row r="28" ht="15" customHeight="1">
      <c r="A28" s="17" t="inlineStr">
        <is>
          <t>Nhóm 2–5 / dư nợ</t>
        </is>
      </c>
      <c r="B28" s="13" t="inlineStr">
        <is>
          <t>%</t>
        </is>
      </c>
      <c r="C28" s="30">
        <f>(Du_lieu!C38+Du_lieu!C31)/Du_lieu!C33</f>
        <v/>
      </c>
      <c r="D28" s="30">
        <f>(Du_lieu!D38+Du_lieu!D31)/Du_lieu!D33</f>
        <v/>
      </c>
      <c r="E28" s="26">
        <f>(Du_lieu!E38+Du_lieu!E31)/Du_lieu!E33</f>
        <v/>
      </c>
      <c r="F28" s="26">
        <f>(Du_lieu!F38+Du_lieu!F31)/Du_lieu!F33</f>
        <v/>
      </c>
      <c r="G28" s="30">
        <f>(Du_lieu!G38+Du_lieu!G31)/Du_lieu!G33</f>
        <v/>
      </c>
      <c r="H28" s="30">
        <f>(Du_lieu!H38+Du_lieu!H31)/Du_lieu!H33</f>
        <v/>
      </c>
      <c r="I28" s="127" t="inlineStr">
        <is>
          <t>Tỷ lệ nợ nhóm 2 đến nhóm 5 trên tổng dư nợ MB (1,90%–3,88%)</t>
        </is>
      </c>
    </row>
    <row r="29" ht="15" customHeight="1">
      <c r="A29" s="17" t="inlineStr">
        <is>
          <t>Tăng trưởng nhóm 2 năm 2023</t>
        </is>
      </c>
      <c r="B29" s="13" t="inlineStr">
        <is>
          <t>%</t>
        </is>
      </c>
      <c r="C29" s="128">
        <f>(Du_lieu!C38-BCTC_MB_Goc!D66)/BCTC_MB_Goc!D66</f>
        <v/>
      </c>
      <c r="D29" s="30">
        <f>Du_lieu!D38/Du_lieu!C38-1</f>
        <v/>
      </c>
      <c r="E29" s="30">
        <f>Du_lieu!E38/Du_lieu!D38-1</f>
        <v/>
      </c>
      <c r="F29" s="26">
        <f>Du_lieu!F38/Du_lieu!E38-1</f>
        <v/>
      </c>
      <c r="G29" s="30">
        <f>Du_lieu!G38/Du_lieu!F38-1</f>
        <v/>
      </c>
      <c r="H29" s="30">
        <f>Du_lieu!H38/Du_lieu!G38-1</f>
        <v/>
      </c>
      <c r="I29" s="127" t="inlineStr">
        <is>
          <t>Tăng trưởng nợ nhóm 2 so năm trước (-16,39% năm 2020; +78,2% năm 2023)</t>
        </is>
      </c>
    </row>
    <row r="30" ht="15" customHeight="1">
      <c r="A30" s="17" t="inlineStr">
        <is>
          <t>Dự phòng ngụ ý = LLCR × nợ xấu</t>
        </is>
      </c>
      <c r="B30" s="13" t="inlineStr">
        <is>
          <t>tỷ</t>
        </is>
      </c>
      <c r="C30" s="29">
        <f>Du_lieu!C36*Du_lieu!C31</f>
        <v/>
      </c>
      <c r="D30" s="29">
        <f>Du_lieu!D36*Du_lieu!D31</f>
        <v/>
      </c>
      <c r="E30" s="29">
        <f>Du_lieu!E36*Du_lieu!E31</f>
        <v/>
      </c>
      <c r="F30" s="29">
        <f>Du_lieu!F36*Du_lieu!F31</f>
        <v/>
      </c>
      <c r="G30" s="29">
        <f>Du_lieu!G36*Du_lieu!G31</f>
        <v/>
      </c>
      <c r="H30" s="29">
        <f>Du_lieu!H36*Du_lieu!H31</f>
        <v/>
      </c>
      <c r="I30" s="127" t="inlineStr">
        <is>
          <t>Dự phòng ngụ ý theo tỷ lệ bao phủ nợ xấu LLCR thực tế</t>
        </is>
      </c>
    </row>
    <row r="31" ht="15" customHeight="1">
      <c r="A31" s="17" t="inlineStr">
        <is>
          <t>Credit cost = CPDP / dư nợ bình quân</t>
        </is>
      </c>
      <c r="B31" s="13" t="inlineStr">
        <is>
          <t>%</t>
        </is>
      </c>
      <c r="C31" s="143">
        <f>Du_lieu!C40/AVERAGE(BCTC_MB_Goc!D64,Du_lieu!C33)</f>
        <v/>
      </c>
      <c r="D31" s="26">
        <f>Du_lieu!D40/AVERAGE(Du_lieu!C33,Du_lieu!D33)</f>
        <v/>
      </c>
      <c r="E31" s="26">
        <f>Du_lieu!E40/AVERAGE(Du_lieu!D33,Du_lieu!E33)</f>
        <v/>
      </c>
      <c r="F31" s="26">
        <f>Du_lieu!F40/AVERAGE(Du_lieu!E33,Du_lieu!F33)</f>
        <v/>
      </c>
      <c r="G31" s="26">
        <f>Du_lieu!G40/AVERAGE(Du_lieu!F33,Du_lieu!G33)</f>
        <v/>
      </c>
      <c r="H31" s="26">
        <f>Du_lieu!H40/AVERAGE(Du_lieu!G33,Du_lieu!H33)</f>
        <v/>
      </c>
      <c r="I31" s="127" t="inlineStr">
        <is>
          <t>Credit cost = Chi phí DPRR tín dụng / Dư nợ bình quân MB (1,14%–2,43%)</t>
        </is>
      </c>
    </row>
    <row r="32" ht="15" customHeight="1">
      <c r="A32" s="17" t="inlineStr">
        <is>
          <t>NPL điều chỉnh năm 2021 (gồm 612 tỷ nợ cơ cấu Covid tại BCTN 2021)</t>
        </is>
      </c>
      <c r="B32" s="13" t="inlineStr">
        <is>
          <t>%</t>
        </is>
      </c>
      <c r="C32" s="26" t="n"/>
      <c r="D32" s="26">
        <f>(Du_lieu!D31+Du_lieu!D48)/Du_lieu!D33</f>
        <v/>
      </c>
      <c r="E32" s="26" t="n"/>
      <c r="F32" s="26" t="n"/>
      <c r="G32" s="26" t="n"/>
      <c r="H32" s="26" t="n"/>
      <c r="I32" s="27" t="inlineStr">
        <is>
          <t>Năm 2021 là năm duy nhất MB công bố số dư nợ cơ cấu tuyệt đối cuối năm (612 tỷ tại BCTN 2021 tr.41)</t>
        </is>
      </c>
    </row>
    <row r="33" ht="15" customHeight="1">
      <c r="A33" s="17" t="inlineStr">
        <is>
          <t>CPDP / lợi nhuận trước dự phòng</t>
        </is>
      </c>
      <c r="B33" s="13" t="inlineStr">
        <is>
          <t>%</t>
        </is>
      </c>
      <c r="C33" s="93">
        <f>Du_lieu!C40/Du_lieu!C42</f>
        <v/>
      </c>
      <c r="D33" s="26">
        <f>Du_lieu!D40/Du_lieu!D42</f>
        <v/>
      </c>
      <c r="E33" s="26">
        <f>Du_lieu!E40/Du_lieu!E42</f>
        <v/>
      </c>
      <c r="F33" s="26">
        <f>Du_lieu!F40/Du_lieu!F42</f>
        <v/>
      </c>
      <c r="G33" s="26">
        <f>Du_lieu!G40/Du_lieu!G42</f>
        <v/>
      </c>
      <c r="H33" s="26">
        <f>Du_lieu!H40/Du_lieu!H42</f>
        <v/>
      </c>
      <c r="I33" s="127" t="inlineStr">
        <is>
          <t>Tỷ lệ trích lập dự phòng trên lợi nhuận thuần PPOP (18,8%–36,4%)</t>
        </is>
      </c>
    </row>
    <row r="34" ht="15" customHeight="1">
      <c r="A34" s="17" t="inlineStr">
        <is>
          <t>Dư nợ suy ra cuối Q3/2023 (NPL 1,89%, nợ xấu 10.111 tỷ)</t>
        </is>
      </c>
      <c r="B34" s="13" t="inlineStr">
        <is>
          <t>tỷ</t>
        </is>
      </c>
      <c r="C34" s="29" t="n"/>
      <c r="D34" s="29" t="n"/>
      <c r="E34" s="29" t="n"/>
      <c r="F34" s="29">
        <f>10111/0.0189</f>
        <v/>
      </c>
      <c r="G34" s="29" t="n"/>
      <c r="H34" s="29" t="n"/>
      <c r="I34" s="27" t="inlineStr">
        <is>
          <t>Tham số Q3/2023 từ báo chí</t>
        </is>
      </c>
    </row>
    <row r="35" ht="15" customHeight="1">
      <c r="A35" s="17" t="inlineStr">
        <is>
          <t>Tăng dư nợ quý IV/2023 (suy ra)</t>
        </is>
      </c>
      <c r="B35" s="13" t="inlineStr">
        <is>
          <t>%</t>
        </is>
      </c>
      <c r="C35" s="26" t="n"/>
      <c r="D35" s="26" t="n"/>
      <c r="E35" s="26" t="n"/>
      <c r="F35" s="26">
        <f>Du_lieu!F33/F34-1</f>
        <v/>
      </c>
      <c r="G35" s="26" t="n"/>
      <c r="H35" s="26" t="n"/>
      <c r="I35" s="27" t="n"/>
    </row>
    <row r="36" ht="15" customHeight="1">
      <c r="A36" s="17" t="inlineStr">
        <is>
          <t>Giảm nợ xấu quý IV/2025 so quý III (tỷ)</t>
        </is>
      </c>
      <c r="B36" s="13" t="inlineStr">
        <is>
          <t>tỷ</t>
        </is>
      </c>
      <c r="C36" s="29" t="n"/>
      <c r="D36" s="29" t="n"/>
      <c r="E36" s="29" t="n"/>
      <c r="F36" s="29" t="n"/>
      <c r="G36" s="29" t="n"/>
      <c r="H36" s="29">
        <f>Du_lieu!H47-Du_lieu!H31</f>
        <v/>
      </c>
      <c r="I36" s="27" t="inlineStr">
        <is>
          <t>Nợ xấu quý III 17.423 → cuối năm 14.027</t>
        </is>
      </c>
    </row>
    <row r="37" ht="15" customHeight="1">
      <c r="A37" s="17" t="inlineStr">
        <is>
          <t>Tỷ trọng TPDN+mua nợ trong dư nợ tín dụng hợp nhất 2023</t>
        </is>
      </c>
      <c r="B37" s="13" t="inlineStr">
        <is>
          <t>%</t>
        </is>
      </c>
      <c r="C37" s="26" t="n"/>
      <c r="D37" s="26" t="n"/>
      <c r="E37" s="26" t="n"/>
      <c r="F37" s="26">
        <f>(Du_lieu!F45-Du_lieu!F33)/Du_lieu!F45</f>
        <v/>
      </c>
      <c r="G37" s="26" t="n"/>
      <c r="H37" s="26" t="n"/>
      <c r="I37" s="27" t="n"/>
    </row>
    <row r="38" ht="15" customHeight="1">
      <c r="A38" s="17" t="inlineStr">
        <is>
          <t>NPL sau – trước liên đới CIC 2023 (điểm %)</t>
        </is>
      </c>
      <c r="B38" s="13" t="inlineStr">
        <is>
          <t>đ.%</t>
        </is>
      </c>
      <c r="C38" s="26" t="n"/>
      <c r="D38" s="26" t="n"/>
      <c r="E38" s="26" t="n"/>
      <c r="F38" s="26">
        <f>Du_lieu!F30-Du_lieu!F35</f>
        <v/>
      </c>
      <c r="G38" s="26" t="n"/>
      <c r="H38" s="26" t="n"/>
      <c r="I38" s="27" t="n"/>
    </row>
    <row r="39" ht="15" customHeight="1">
      <c r="A39" s="15" t="inlineStr">
        <is>
          <t>3. SO SÁNH AGRIBANK – MB (độ nhạy theo chuỗi NPL)</t>
        </is>
      </c>
      <c r="B39" s="16" t="n"/>
      <c r="C39" s="16" t="n"/>
      <c r="D39" s="16" t="n"/>
      <c r="E39" s="16" t="n"/>
      <c r="F39" s="16" t="n"/>
      <c r="G39" s="16" t="n"/>
      <c r="H39" s="16" t="n"/>
      <c r="I39" s="16" t="n"/>
    </row>
    <row r="40" ht="15" customHeight="1">
      <c r="A40" s="17" t="inlineStr">
        <is>
          <t>Chênh NPL: Agribank (chuỗi chính) − MB hợp nhất</t>
        </is>
      </c>
      <c r="B40" s="13" t="inlineStr">
        <is>
          <t>đ.%</t>
        </is>
      </c>
      <c r="C40" s="26">
        <f>Du_lieu!C7-Du_lieu!C30</f>
        <v/>
      </c>
      <c r="D40" s="26">
        <f>Du_lieu!D7-Du_lieu!D30</f>
        <v/>
      </c>
      <c r="E40" s="26">
        <f>Du_lieu!E7-Du_lieu!E30</f>
        <v/>
      </c>
      <c r="F40" s="26">
        <f>Du_lieu!F7-Du_lieu!F30</f>
        <v/>
      </c>
      <c r="G40" s="26">
        <f>Du_lieu!G7-Du_lieu!G30</f>
        <v/>
      </c>
      <c r="H40" s="26">
        <f>Du_lieu!H7-Du_lieu!H30</f>
        <v/>
      </c>
      <c r="I40" s="27" t="n"/>
    </row>
    <row r="41" ht="23.25" customHeight="1">
      <c r="A41" s="17" t="inlineStr">
        <is>
          <t>Chênh NPL: Agribank (chuỗi chính) − MB riêng ngân hàng (so sánh cùng phạm vi)</t>
        </is>
      </c>
      <c r="B41" s="13" t="inlineStr">
        <is>
          <t>đ.%</t>
        </is>
      </c>
      <c r="C41" s="26">
        <f>Du_lieu!C7-Du_lieu!C34</f>
        <v/>
      </c>
      <c r="D41" s="26">
        <f>Du_lieu!D7-Du_lieu!D34</f>
        <v/>
      </c>
      <c r="E41" s="26">
        <f>Du_lieu!E7-Du_lieu!E34</f>
        <v/>
      </c>
      <c r="F41" s="26">
        <f>Du_lieu!F7-Du_lieu!F34</f>
        <v/>
      </c>
      <c r="G41" s="26">
        <f>Du_lieu!G7-Du_lieu!G34</f>
        <v/>
      </c>
      <c r="H41" s="26">
        <f>Du_lieu!H7-Du_lieu!H34</f>
        <v/>
      </c>
      <c r="I41" s="27" t="n"/>
    </row>
    <row r="42" ht="15" customHeight="1">
      <c r="A42" s="17" t="inlineStr">
        <is>
          <t>Chênh NPL: Agribank (hợp nhất ban đầu) − MB hợp nhất</t>
        </is>
      </c>
      <c r="B42" s="13" t="inlineStr">
        <is>
          <t>đ.%</t>
        </is>
      </c>
      <c r="C42" s="26">
        <f>IF(OR(Du_lieu!C10="",Du_lieu!C30=""),"",Du_lieu!C10-Du_lieu!C30)</f>
        <v/>
      </c>
      <c r="D42" s="26">
        <f>IF(OR(Du_lieu!D10="",Du_lieu!D30=""),"",Du_lieu!D10-Du_lieu!D30)</f>
        <v/>
      </c>
      <c r="E42" s="26">
        <f>IF(OR(Du_lieu!E10="",Du_lieu!E30=""),"",Du_lieu!E10-Du_lieu!E30)</f>
        <v/>
      </c>
      <c r="F42" s="26">
        <f>IF(OR(Du_lieu!F10="",Du_lieu!F30=""),"",Du_lieu!F10-Du_lieu!F30)</f>
        <v/>
      </c>
      <c r="G42" s="26">
        <f>IF(OR(Du_lieu!G10="",Du_lieu!G30=""),"",Du_lieu!G10-Du_lieu!G30)</f>
        <v/>
      </c>
      <c r="H42" s="30">
        <f>IF(OR(Du_lieu!H10="",Du_lieu!H30=""),"",Du_lieu!H10-Du_lieu!H30)</f>
        <v/>
      </c>
      <c r="I42" s="27" t="n"/>
    </row>
    <row r="43" ht="15" customHeight="1">
      <c r="A43" s="17" t="inlineStr">
        <is>
          <t>Chênh NPL: Agribank (báo cáo điều hành) − MB hợp nhất</t>
        </is>
      </c>
      <c r="B43" s="13" t="inlineStr">
        <is>
          <t>đ.%</t>
        </is>
      </c>
      <c r="C43" s="30">
        <f>IF(OR(Du_lieu!C11="",Du_lieu!C30=""),"",Du_lieu!C11-Du_lieu!C30)</f>
        <v/>
      </c>
      <c r="D43" s="30">
        <f>IF(OR(Du_lieu!D11="",Du_lieu!D30=""),"",Du_lieu!D11-Du_lieu!D30)</f>
        <v/>
      </c>
      <c r="E43" s="26">
        <f>IF(OR(Du_lieu!E11="",Du_lieu!E30=""),"",Du_lieu!E11-Du_lieu!E30)</f>
        <v/>
      </c>
      <c r="F43" s="26">
        <f>IF(OR(Du_lieu!F11="",Du_lieu!F30=""),"",Du_lieu!F11-Du_lieu!F30)</f>
        <v/>
      </c>
      <c r="G43" s="30">
        <f>IF(OR(Du_lieu!G11="",Du_lieu!G30=""),"",Du_lieu!G11-Du_lieu!G30)</f>
        <v/>
      </c>
      <c r="H43" s="26">
        <f>IF(OR(Du_lieu!H11="",Du_lieu!H30=""),"",Du_lieu!H11-Du_lieu!H30)</f>
        <v/>
      </c>
      <c r="I43" s="27" t="n"/>
    </row>
    <row r="44" ht="15" customHeight="1">
      <c r="A44" s="17" t="inlineStr">
        <is>
          <t>Chênh NPL: Agribank (BCTC riêng báo chí) − MB hợp nhất</t>
        </is>
      </c>
      <c r="B44" s="13" t="inlineStr">
        <is>
          <t>đ.%</t>
        </is>
      </c>
      <c r="C44" s="30">
        <f>IF(OR(Du_lieu!C12="",Du_lieu!C30=""),"",Du_lieu!C12-Du_lieu!C30)</f>
        <v/>
      </c>
      <c r="D44" s="26">
        <f>IF(OR(Du_lieu!D12="",Du_lieu!D30=""),"",Du_lieu!D12-Du_lieu!D30)</f>
        <v/>
      </c>
      <c r="E44" s="26">
        <f>IF(OR(Du_lieu!E12="",Du_lieu!E30=""),"",Du_lieu!E12-Du_lieu!E30)</f>
        <v/>
      </c>
      <c r="F44" s="26">
        <f>IF(OR(Du_lieu!F12="",Du_lieu!F30=""),"",Du_lieu!F12-Du_lieu!F30)</f>
        <v/>
      </c>
      <c r="G44" s="30">
        <f>IF(OR(Du_lieu!G12="",Du_lieu!G30=""),"",Du_lieu!G12-Du_lieu!G30)</f>
        <v/>
      </c>
      <c r="H44" s="30">
        <f>IF(OR(Du_lieu!H12="",Du_lieu!H30=""),"",Du_lieu!H12-Du_lieu!H30)</f>
        <v/>
      </c>
      <c r="I44" s="27" t="n"/>
    </row>
    <row r="45" ht="15" customHeight="1">
      <c r="A45" s="17" t="inlineStr">
        <is>
          <t>Chênh LLCR: Agribank − MB</t>
        </is>
      </c>
      <c r="B45" s="13" t="inlineStr">
        <is>
          <t>đ.%</t>
        </is>
      </c>
      <c r="C45" s="32">
        <f>IF(OR(Du_lieu!C13="",Du_lieu!C36=""),"",Du_lieu!C13-Du_lieu!C36)</f>
        <v/>
      </c>
      <c r="D45" s="33">
        <f>IF(OR(Du_lieu!D13="",Du_lieu!D36=""),"",Du_lieu!D13-Du_lieu!D36)</f>
        <v/>
      </c>
      <c r="E45" s="33">
        <f>IF(OR(Du_lieu!E13="",Du_lieu!E36=""),"",Du_lieu!E13-Du_lieu!E36)</f>
        <v/>
      </c>
      <c r="F45" s="33">
        <f>IF(OR(Du_lieu!F13="",Du_lieu!F36=""),"",Du_lieu!F13-Du_lieu!F36)</f>
        <v/>
      </c>
      <c r="G45" s="33">
        <f>IF(OR(Du_lieu!G13="",Du_lieu!G36=""),"",Du_lieu!G13-Du_lieu!G36)</f>
        <v/>
      </c>
      <c r="H45" s="32">
        <f>IF(OR(Du_lieu!H13="",Du_lieu!H36=""),"",Du_lieu!H13-Du_lieu!H36)</f>
        <v/>
      </c>
      <c r="I45" s="27" t="n"/>
    </row>
    <row r="46" ht="15" customHeight="1">
      <c r="A46" s="39" t="inlineStr">
        <is>
          <t>4. TỶ SUẤT LỢI NHUẬN TRÊN VỐN RỦI RO ƯỚC TÍNH (RORAC – proxy, mẫu số = 8% dư nợ cho vay, cùng cơ sở cho hai ngân hàng)</t>
        </is>
      </c>
      <c r="B46" s="40" t="n"/>
      <c r="C46" s="41" t="n"/>
      <c r="D46" s="41" t="n"/>
      <c r="E46" s="41" t="n"/>
      <c r="F46" s="41" t="n"/>
      <c r="G46" s="41" t="n"/>
      <c r="H46" s="41" t="n"/>
      <c r="I46" s="27" t="n"/>
    </row>
    <row r="47" ht="15" customHeight="1">
      <c r="A47" s="42" t="inlineStr">
        <is>
          <t>Chỉ tiêu</t>
        </is>
      </c>
      <c r="B47" s="42" t="inlineStr">
        <is>
          <t>Đơn vị</t>
        </is>
      </c>
      <c r="C47" s="43" t="inlineStr">
        <is>
          <t>2020</t>
        </is>
      </c>
      <c r="D47" s="43" t="inlineStr">
        <is>
          <t>2021</t>
        </is>
      </c>
      <c r="E47" s="43" t="inlineStr">
        <is>
          <t>2022</t>
        </is>
      </c>
      <c r="F47" s="43" t="inlineStr">
        <is>
          <t>2023</t>
        </is>
      </c>
      <c r="G47" s="43" t="inlineStr">
        <is>
          <t>2024</t>
        </is>
      </c>
      <c r="H47" s="43" t="inlineStr">
        <is>
          <t>2025</t>
        </is>
      </c>
      <c r="I47" s="27" t="n"/>
    </row>
    <row r="48" ht="15" customHeight="1">
      <c r="A48" s="121" t="inlineStr">
        <is>
          <t>Agribank - Vốn tối thiểu ước tính (8% × dư nợ cho vay KH hợp nhất)</t>
        </is>
      </c>
      <c r="B48" s="45" t="inlineStr">
        <is>
          <t>tỷ</t>
        </is>
      </c>
      <c r="C48" s="46">
        <f>0.08*BCTC_Agribank_Goc!D24</f>
        <v/>
      </c>
      <c r="D48" s="46">
        <f>0.08*BCTC_Agribank_Goc!E24</f>
        <v/>
      </c>
      <c r="E48" s="46">
        <f>0.08*BCTC_Agribank_Goc!F24</f>
        <v/>
      </c>
      <c r="F48" s="46">
        <f>0.08*BCTC_Agribank_Goc!G24</f>
        <v/>
      </c>
      <c r="G48" s="46">
        <f>0.08*BCTC_Agribank_Goc!H24</f>
        <v/>
      </c>
      <c r="H48" s="46">
        <f>0.08*BCTC_Agribank_Goc!I24</f>
        <v/>
      </c>
      <c r="I48" s="27" t="n"/>
    </row>
    <row r="49" ht="15" customHeight="1">
      <c r="A49" s="47" t="inlineStr">
        <is>
          <t>Agribank - Lợi nhuận sau thuế (PAT)</t>
        </is>
      </c>
      <c r="B49" s="48" t="inlineStr">
        <is>
          <t>tỷ</t>
        </is>
      </c>
      <c r="C49" s="49">
        <f>BCTC_Agribank_Goc!D48</f>
        <v/>
      </c>
      <c r="D49" s="49">
        <f>BCTC_Agribank_Goc!E48</f>
        <v/>
      </c>
      <c r="E49" s="49">
        <f>BCTC_Agribank_Goc!F48</f>
        <v/>
      </c>
      <c r="F49" s="49">
        <f>BCTC_Agribank_Goc!G48</f>
        <v/>
      </c>
      <c r="G49" s="49">
        <f>BCTC_Agribank_Goc!H48</f>
        <v/>
      </c>
      <c r="H49" s="49">
        <f>BCTC_Agribank_Goc!I48</f>
        <v/>
      </c>
      <c r="I49" s="16" t="n"/>
    </row>
    <row r="50" ht="15" customHeight="1">
      <c r="A50" s="121" t="inlineStr">
        <is>
          <t>Agribank - Chi phí dự phòng RRTD (tổn thất đã ghi nhận, tham khảo)</t>
        </is>
      </c>
      <c r="B50" s="45" t="inlineStr">
        <is>
          <t>tỷ</t>
        </is>
      </c>
      <c r="C50" s="46">
        <f>BCTC_Agribank_Goc!D46</f>
        <v/>
      </c>
      <c r="D50" s="46">
        <f>BCTC_Agribank_Goc!E46</f>
        <v/>
      </c>
      <c r="E50" s="46">
        <f>BCTC_Agribank_Goc!F46</f>
        <v/>
      </c>
      <c r="F50" s="46">
        <f>BCTC_Agribank_Goc!G46</f>
        <v/>
      </c>
      <c r="G50" s="46">
        <f>BCTC_Agribank_Goc!H46</f>
        <v/>
      </c>
      <c r="H50" s="46">
        <f>BCTC_Agribank_Goc!I46</f>
        <v/>
      </c>
      <c r="I50" s="27" t="n"/>
    </row>
    <row r="51" ht="15" customHeight="1">
      <c r="A51" s="50" t="inlineStr">
        <is>
          <t>Agribank - RORAC proxy = LNST / vốn tối thiểu ước tính</t>
        </is>
      </c>
      <c r="B51" s="45" t="inlineStr">
        <is>
          <t>%</t>
        </is>
      </c>
      <c r="C51" s="51">
        <f>C49/C48</f>
        <v/>
      </c>
      <c r="D51" s="51">
        <f>D49/D48</f>
        <v/>
      </c>
      <c r="E51" s="51">
        <f>E49/E48</f>
        <v/>
      </c>
      <c r="F51" s="51">
        <f>F49/F48</f>
        <v/>
      </c>
      <c r="G51" s="51">
        <f>G49/G48</f>
        <v/>
      </c>
      <c r="H51" s="51">
        <f>H49/H48</f>
        <v/>
      </c>
      <c r="I51" s="27" t="inlineStr">
        <is>
          <t>LNST đã trừ chi phí dự phòng nên không trừ thêm EL (tránh tính trùng). Trọng số rủi ro giả định 100%.</t>
        </is>
      </c>
    </row>
    <row r="52" ht="15" customHeight="1">
      <c r="A52" s="121" t="inlineStr">
        <is>
          <t>MB - Vốn tối thiểu ước tính (8% × dư nợ cho vay KH hợp nhất)</t>
        </is>
      </c>
      <c r="B52" s="45" t="inlineStr">
        <is>
          <t>tỷ</t>
        </is>
      </c>
      <c r="C52" s="46">
        <f>0.08*BCTC_MB_Goc!D22</f>
        <v/>
      </c>
      <c r="D52" s="46">
        <f>0.08*BCTC_MB_Goc!E22</f>
        <v/>
      </c>
      <c r="E52" s="46">
        <f>0.08*BCTC_MB_Goc!F22</f>
        <v/>
      </c>
      <c r="F52" s="46">
        <f>0.08*BCTC_MB_Goc!G22</f>
        <v/>
      </c>
      <c r="G52" s="46">
        <f>0.08*BCTC_MB_Goc!H22</f>
        <v/>
      </c>
      <c r="H52" s="46">
        <f>0.08*BCTC_MB_Goc!I22</f>
        <v/>
      </c>
      <c r="I52" s="27" t="n"/>
    </row>
    <row r="53" ht="15" customHeight="1">
      <c r="A53" s="121" t="inlineStr">
        <is>
          <t>MB - Lợi nhuận sau thuế (PAT)</t>
        </is>
      </c>
      <c r="B53" s="45" t="inlineStr">
        <is>
          <t>tỷ</t>
        </is>
      </c>
      <c r="C53" s="46">
        <f>BCTC_MB_Goc!D48</f>
        <v/>
      </c>
      <c r="D53" s="46">
        <f>BCTC_MB_Goc!E48</f>
        <v/>
      </c>
      <c r="E53" s="46">
        <f>BCTC_MB_Goc!F48</f>
        <v/>
      </c>
      <c r="F53" s="46">
        <f>BCTC_MB_Goc!G48</f>
        <v/>
      </c>
      <c r="G53" s="46">
        <f>BCTC_MB_Goc!H48</f>
        <v/>
      </c>
      <c r="H53" s="46">
        <f>BCTC_MB_Goc!I48</f>
        <v/>
      </c>
      <c r="I53" s="27" t="n"/>
    </row>
    <row r="54">
      <c r="A54" s="121" t="inlineStr">
        <is>
          <t>MB - Chi phí dự phòng RRTD (tổn thất đã ghi nhận, tham khảo)</t>
        </is>
      </c>
      <c r="B54" s="45" t="inlineStr">
        <is>
          <t>tỷ</t>
        </is>
      </c>
      <c r="C54" s="46">
        <f>BCTC_MB_Goc!D46</f>
        <v/>
      </c>
      <c r="D54" s="46">
        <f>BCTC_MB_Goc!E46</f>
        <v/>
      </c>
      <c r="E54" s="46">
        <f>BCTC_MB_Goc!F46</f>
        <v/>
      </c>
      <c r="F54" s="46">
        <f>BCTC_MB_Goc!G46</f>
        <v/>
      </c>
      <c r="G54" s="46">
        <f>BCTC_MB_Goc!H46</f>
        <v/>
      </c>
      <c r="H54" s="46">
        <f>BCTC_MB_Goc!I46</f>
        <v/>
      </c>
    </row>
    <row r="55">
      <c r="A55" s="50" t="inlineStr">
        <is>
          <t>MB - RORAC proxy = LNST / vốn tối thiểu ước tính</t>
        </is>
      </c>
      <c r="B55" s="45" t="inlineStr">
        <is>
          <t>%</t>
        </is>
      </c>
      <c r="C55" s="51">
        <f>C53/C52</f>
        <v/>
      </c>
      <c r="D55" s="51">
        <f>D53/D52</f>
        <v/>
      </c>
      <c r="E55" s="51">
        <f>E53/E52</f>
        <v/>
      </c>
      <c r="F55" s="51">
        <f>F53/F52</f>
        <v/>
      </c>
      <c r="G55" s="51">
        <f>G53/G52</f>
        <v/>
      </c>
      <c r="H55" s="51">
        <f>H53/H52</f>
        <v/>
      </c>
    </row>
    <row r="56" ht="15" customHeight="1">
      <c r="A56" s="50" t="inlineStr">
        <is>
          <t>Chênh lệch RORAC proxy: MB − Agribank</t>
        </is>
      </c>
      <c r="B56" s="45" t="inlineStr">
        <is>
          <t>đ.%</t>
        </is>
      </c>
      <c r="C56" s="72">
        <f>C55-C51</f>
        <v/>
      </c>
      <c r="D56" s="72">
        <f>D55-D51</f>
        <v/>
      </c>
      <c r="E56" s="72">
        <f>E55-E51</f>
        <v/>
      </c>
      <c r="F56" s="72">
        <f>F55-F51</f>
        <v/>
      </c>
      <c r="G56" s="72">
        <f>G55-G51</f>
        <v/>
      </c>
      <c r="H56" s="72">
        <f>H55-H51</f>
        <v/>
      </c>
    </row>
    <row r="57" ht="15" customHeight="1">
      <c r="A57" s="13" t="inlineStr">
        <is>
          <t>Agribank (chuỗi chính)</t>
        </is>
      </c>
      <c r="C57" s="34">
        <f>Du_lieu!C7</f>
        <v/>
      </c>
      <c r="D57" s="34">
        <f>Du_lieu!D7</f>
        <v/>
      </c>
      <c r="E57" s="34">
        <f>Du_lieu!E7</f>
        <v/>
      </c>
      <c r="F57" s="34">
        <f>Du_lieu!F7</f>
        <v/>
      </c>
      <c r="G57" s="34">
        <f>Du_lieu!G7</f>
        <v/>
      </c>
      <c r="H57" s="34">
        <f>Du_lieu!H7</f>
        <v/>
      </c>
    </row>
    <row r="58" ht="15" customHeight="1">
      <c r="A58" s="13" t="inlineStr">
        <is>
          <t>MB hợp nhất</t>
        </is>
      </c>
      <c r="C58" s="34">
        <f>Du_lieu!C30</f>
        <v/>
      </c>
      <c r="D58" s="34">
        <f>Du_lieu!D30</f>
        <v/>
      </c>
      <c r="E58" s="34">
        <f>Du_lieu!E30</f>
        <v/>
      </c>
      <c r="F58" s="34">
        <f>Du_lieu!F30</f>
        <v/>
      </c>
      <c r="G58" s="34">
        <f>Du_lieu!G30</f>
        <v/>
      </c>
      <c r="H58" s="34">
        <f>Du_lieu!H30</f>
        <v/>
      </c>
    </row>
    <row r="59" ht="15" customHeight="1">
      <c r="A59" s="13" t="inlineStr">
        <is>
          <t>MB riêng NH</t>
        </is>
      </c>
      <c r="C59" s="34">
        <f>Du_lieu!C34</f>
        <v/>
      </c>
      <c r="D59" s="34">
        <f>Du_lieu!D34</f>
        <v/>
      </c>
      <c r="E59" s="34">
        <f>Du_lieu!E34</f>
        <v/>
      </c>
      <c r="F59" s="34">
        <f>Du_lieu!F34</f>
        <v/>
      </c>
      <c r="G59" s="34">
        <f>Du_lieu!G34</f>
        <v/>
      </c>
      <c r="H59" s="34">
        <f>Du_lieu!H34</f>
        <v/>
      </c>
    </row>
    <row r="60" ht="15" customHeight="1">
      <c r="A60" s="13" t="inlineStr">
        <is>
          <t>Hệ thống NHNN</t>
        </is>
      </c>
      <c r="C60" s="34">
        <f>Du_lieu!C52</f>
        <v/>
      </c>
      <c r="D60" s="34">
        <f>Du_lieu!D52</f>
        <v/>
      </c>
      <c r="E60" s="34">
        <f>Du_lieu!E52</f>
        <v/>
      </c>
      <c r="F60" s="34">
        <f>Du_lieu!F52</f>
        <v/>
      </c>
      <c r="G60" s="34">
        <f>Du_lieu!G52</f>
        <v/>
      </c>
      <c r="H60" s="35">
        <f>Du_lieu!H52</f>
        <v/>
      </c>
    </row>
    <row r="62" ht="15" customHeight="1">
      <c r="A62" s="39" t="inlineStr">
        <is>
          <t>5. CHỈ TIÊU BỔ SUNG – SOÁT XÉT 28/10/2026 (dùng cho Bảng 9, Mục 5.2, 5.3, 5.4, 6.2)</t>
        </is>
      </c>
    </row>
    <row r="63" ht="15" customHeight="1">
      <c r="A63" s="50" t="inlineStr">
        <is>
          <t>MB – (Dư nợ BĐS + Xây dựng) / Dư nợ cho vay HN</t>
        </is>
      </c>
      <c r="B63" s="45" t="inlineStr">
        <is>
          <t>%</t>
        </is>
      </c>
      <c r="C63" s="51">
        <f>(BCTC_MB_Goc!D57+BCTC_MB_Goc!D58)/BCTC_MB_Goc!D22</f>
        <v/>
      </c>
      <c r="D63" s="51">
        <f>(BCTC_MB_Goc!E57+BCTC_MB_Goc!E58)/BCTC_MB_Goc!E22</f>
        <v/>
      </c>
      <c r="E63" s="51">
        <f>(BCTC_MB_Goc!F57+BCTC_MB_Goc!F58)/BCTC_MB_Goc!F22</f>
        <v/>
      </c>
      <c r="F63" s="51">
        <f>(BCTC_MB_Goc!G57+BCTC_MB_Goc!G58)/BCTC_MB_Goc!G22</f>
        <v/>
      </c>
      <c r="G63" s="51">
        <f>(BCTC_MB_Goc!H57+BCTC_MB_Goc!H58)/BCTC_MB_Goc!H22</f>
        <v/>
      </c>
      <c r="H63" s="51">
        <f>(BCTC_MB_Goc!I57+BCTC_MB_Goc!I58)/BCTC_MB_Goc!I22</f>
        <v/>
      </c>
      <c r="I63" s="27" t="inlineStr">
        <is>
          <t>Bảng 9 dòng 3; Mục 5.3, 6.2</t>
        </is>
      </c>
    </row>
    <row r="64" ht="15" customHeight="1">
      <c r="A64" s="50" t="inlineStr">
        <is>
          <t>MB – NPL khối công ty con = Nợ xấu (HN − RL) / Dư nợ tiêu dùng khối công ty con</t>
        </is>
      </c>
      <c r="B64" s="45" t="inlineStr">
        <is>
          <t>%</t>
        </is>
      </c>
      <c r="C64" s="51">
        <f>BCTC_MB_Goc!D60/BCTC_MB_Goc!D59</f>
        <v/>
      </c>
      <c r="D64" s="51">
        <f>BCTC_MB_Goc!E60/BCTC_MB_Goc!E59</f>
        <v/>
      </c>
      <c r="E64" s="51">
        <f>BCTC_MB_Goc!F60/BCTC_MB_Goc!F59</f>
        <v/>
      </c>
      <c r="F64" s="51">
        <f>BCTC_MB_Goc!G60/BCTC_MB_Goc!G59</f>
        <v/>
      </c>
      <c r="G64" s="51">
        <f>BCTC_MB_Goc!H60/BCTC_MB_Goc!H59</f>
        <v/>
      </c>
      <c r="H64" s="51">
        <f>BCTC_MB_Goc!I60/BCTC_MB_Goc!I59</f>
        <v/>
      </c>
      <c r="I64" s="27" t="inlineStr">
        <is>
          <t>Mục 5.2: 6,2%–8,5%</t>
        </is>
      </c>
    </row>
    <row r="65" ht="15" customHeight="1">
      <c r="A65" s="50" t="inlineStr">
        <is>
          <t>MB – Bội số NPL công ty con / NPL riêng lẻ ngân hàng mẹ</t>
        </is>
      </c>
      <c r="B65" s="45" t="inlineStr">
        <is>
          <t>lần</t>
        </is>
      </c>
      <c r="C65" s="46">
        <f>BCTC_MB_Goc!D60/BCTC_MB_Goc!D59/BCTC_MB_Goc!D29</f>
        <v/>
      </c>
      <c r="D65" s="46">
        <f>BCTC_MB_Goc!E60/BCTC_MB_Goc!E59/BCTC_MB_Goc!E29</f>
        <v/>
      </c>
      <c r="E65" s="46">
        <f>BCTC_MB_Goc!F60/BCTC_MB_Goc!F59/BCTC_MB_Goc!F29</f>
        <v/>
      </c>
      <c r="F65" s="46">
        <f>BCTC_MB_Goc!G60/BCTC_MB_Goc!G59/BCTC_MB_Goc!G29</f>
        <v/>
      </c>
      <c r="G65" s="46">
        <f>BCTC_MB_Goc!H60/BCTC_MB_Goc!H59/BCTC_MB_Goc!H29</f>
        <v/>
      </c>
      <c r="H65" s="46">
        <f>BCTC_MB_Goc!I60/BCTC_MB_Goc!I59/BCTC_MB_Goc!I29</f>
        <v/>
      </c>
      <c r="I65" s="27" t="inlineStr">
        <is>
          <t>Mục 5.2: khoảng 5,6–9,1 lần</t>
        </is>
      </c>
    </row>
    <row r="66" ht="15" customHeight="1">
      <c r="A66" s="50" t="inlineStr">
        <is>
          <t>MB – Tỷ trọng BĐS trong tổng giá trị TSBĐ</t>
        </is>
      </c>
      <c r="B66" s="45" t="inlineStr">
        <is>
          <t>%</t>
        </is>
      </c>
      <c r="C66" s="51">
        <f>BCTC_MB_Goc!D56/BCTC_MB_Goc!D55</f>
        <v/>
      </c>
      <c r="D66" s="51">
        <f>BCTC_MB_Goc!E56/BCTC_MB_Goc!E55</f>
        <v/>
      </c>
      <c r="E66" s="51">
        <f>BCTC_MB_Goc!F56/BCTC_MB_Goc!F55</f>
        <v/>
      </c>
      <c r="F66" s="51">
        <f>BCTC_MB_Goc!G56/BCTC_MB_Goc!G55</f>
        <v/>
      </c>
      <c r="G66" s="51">
        <f>BCTC_MB_Goc!H56/BCTC_MB_Goc!H55</f>
        <v/>
      </c>
      <c r="H66" s="51">
        <f>BCTC_MB_Goc!I56/BCTC_MB_Goc!I55</f>
        <v/>
      </c>
      <c r="I66" s="27" t="inlineStr">
        <is>
          <t>Mục 5.3: 38,8% (2022) → 50,5% (2025)</t>
        </is>
      </c>
    </row>
    <row r="67" ht="15" customHeight="1">
      <c r="A67" s="50" t="inlineStr">
        <is>
          <t>MB – Thu hồi nợ đã XLRR: tăng trưởng so năm trước</t>
        </is>
      </c>
      <c r="B67" s="45" t="inlineStr">
        <is>
          <t>%</t>
        </is>
      </c>
      <c r="C67" s="128">
        <f>(BCTC_MB_Goc!D42-BCTC_MB_Goc!D68)/BCTC_MB_Goc!D68</f>
        <v/>
      </c>
      <c r="D67" s="51">
        <f>BCTC_MB_Goc!E42/BCTC_MB_Goc!D42-1</f>
        <v/>
      </c>
      <c r="E67" s="51">
        <f>BCTC_MB_Goc!F42/BCTC_MB_Goc!E42-1</f>
        <v/>
      </c>
      <c r="F67" s="51">
        <f>BCTC_MB_Goc!G42/BCTC_MB_Goc!F42-1</f>
        <v/>
      </c>
      <c r="G67" s="51">
        <f>BCTC_MB_Goc!H42/BCTC_MB_Goc!G42-1</f>
        <v/>
      </c>
      <c r="H67" s="51">
        <f>BCTC_MB_Goc!I42/BCTC_MB_Goc!H42-1</f>
        <v/>
      </c>
      <c r="I67" s="27" t="inlineStr">
        <is>
          <t>Mục 5.4: 2025 tăng 68,9% (4.142 vs 2.452 tỷ)</t>
        </is>
      </c>
    </row>
    <row r="68" ht="15" customHeight="1">
      <c r="A68" s="50" t="inlineStr">
        <is>
          <t>Agribank – Tỷ trọng BĐS trong tổng giá trị TSBĐ</t>
        </is>
      </c>
      <c r="B68" s="45" t="inlineStr">
        <is>
          <t>%</t>
        </is>
      </c>
      <c r="C68" s="51">
        <f>BCTC_Agribank_Goc!D52/BCTC_Agribank_Goc!D50</f>
        <v/>
      </c>
      <c r="D68" s="51">
        <f>BCTC_Agribank_Goc!E52/BCTC_Agribank_Goc!E50</f>
        <v/>
      </c>
      <c r="E68" s="51">
        <f>BCTC_Agribank_Goc!F52/BCTC_Agribank_Goc!F50</f>
        <v/>
      </c>
      <c r="F68" s="51">
        <f>BCTC_Agribank_Goc!G52/BCTC_Agribank_Goc!G50</f>
        <v/>
      </c>
      <c r="G68" s="51">
        <f>BCTC_Agribank_Goc!H52/BCTC_Agribank_Goc!H50</f>
        <v/>
      </c>
      <c r="H68" s="51">
        <f>BCTC_Agribank_Goc!I52/BCTC_Agribank_Goc!I50</f>
        <v/>
      </c>
      <c r="I68" s="27" t="inlineStr">
        <is>
          <t>Mục 4.7, 5.1, 6.1: 88,3%–91,7%; 2025: 90,2%</t>
        </is>
      </c>
    </row>
    <row r="69">
      <c r="A69" s="111" t="inlineStr">
        <is>
          <t>Agribank – Tỷ trọng cho vay Nông nghiệp – Nông thôn / Dư nợ HN</t>
        </is>
      </c>
      <c r="B69" s="112" t="inlineStr">
        <is>
          <t>%</t>
        </is>
      </c>
      <c r="C69" s="113">
        <f>Du_lieu!C23</f>
        <v/>
      </c>
      <c r="D69" s="113">
        <f>Du_lieu!D23</f>
        <v/>
      </c>
      <c r="E69" s="113">
        <f>Du_lieu!E23</f>
        <v/>
      </c>
      <c r="F69" s="113">
        <f>Du_lieu!F23</f>
        <v/>
      </c>
      <c r="G69" s="113">
        <f>Du_lieu!G23</f>
        <v/>
      </c>
      <c r="H69" s="113">
        <f>Du_lieu!H23</f>
        <v/>
      </c>
      <c r="I69" s="114" t="inlineStr">
        <is>
          <t>Mục 4.5, 5.1, 6.1 (chiếm 61,7%–70,0% dư nợ Agribank)</t>
        </is>
      </c>
    </row>
    <row r="70">
      <c r="A70" s="111" t="inlineStr">
        <is>
          <t>Agribank – Tỷ trọng Nợ nhóm 5 / Tổng Nợ xấu HN</t>
        </is>
      </c>
      <c r="B70" s="112" t="inlineStr">
        <is>
          <t>%</t>
        </is>
      </c>
      <c r="C70" s="113">
        <f>BCTC_Agribank_Goc!D21/BCTC_Agribank_Goc!D25</f>
        <v/>
      </c>
      <c r="D70" s="113">
        <f>BCTC_Agribank_Goc!E21/BCTC_Agribank_Goc!E25</f>
        <v/>
      </c>
      <c r="E70" s="113">
        <f>BCTC_Agribank_Goc!F21/BCTC_Agribank_Goc!F25</f>
        <v/>
      </c>
      <c r="F70" s="113">
        <f>BCTC_Agribank_Goc!G21/BCTC_Agribank_Goc!G25</f>
        <v/>
      </c>
      <c r="G70" s="113">
        <f>BCTC_Agribank_Goc!H21/BCTC_Agribank_Goc!H25</f>
        <v/>
      </c>
      <c r="H70" s="113">
        <f>BCTC_Agribank_Goc!I21/BCTC_Agribank_Goc!I25</f>
        <v/>
      </c>
      <c r="I70" s="144" t="inlineStr">
        <is>
          <t>Mục 4.1, 5.1 (nợ nhóm 5 chiếm 67,0%–79,0% tổng nợ xấu)</t>
        </is>
      </c>
    </row>
    <row r="71">
      <c r="A71" s="111" t="inlineStr">
        <is>
          <t>Agribank – Tỷ lệ Thu hồi nợ đã XLRR / Dư nợ bình quân</t>
        </is>
      </c>
      <c r="B71" s="112" t="inlineStr">
        <is>
          <t>%</t>
        </is>
      </c>
      <c r="C71" s="145">
        <f>BCTC_Agribank_Goc!D41/AVERAGE(BCTC_Agribank_Goc!D62,BCTC_Agribank_Goc!D24)</f>
        <v/>
      </c>
      <c r="D71" s="145">
        <f>BCTC_Agribank_Goc!E41/AVERAGE(BCTC_Agribank_Goc!D24,BCTC_Agribank_Goc!E24)</f>
        <v/>
      </c>
      <c r="E71" s="145">
        <f>BCTC_Agribank_Goc!F41/AVERAGE(BCTC_Agribank_Goc!E24,BCTC_Agribank_Goc!F24)</f>
        <v/>
      </c>
      <c r="F71" s="145">
        <f>BCTC_Agribank_Goc!G41/AVERAGE(BCTC_Agribank_Goc!F24,BCTC_Agribank_Goc!G24)</f>
        <v/>
      </c>
      <c r="G71" s="145">
        <f>BCTC_Agribank_Goc!H41/AVERAGE(BCTC_Agribank_Goc!G24,BCTC_Agribank_Goc!H24)</f>
        <v/>
      </c>
      <c r="H71" s="145">
        <f>BCTC_Agribank_Goc!I41/AVERAGE(BCTC_Agribank_Goc!H24,BCTC_Agribank_Goc!I24)</f>
        <v/>
      </c>
      <c r="I71" s="144" t="inlineStr">
        <is>
          <t>Mục 4.2, 5.1 (thu nợ đã xử lý rủi ro TM 29/30 đạt 0,51%–0,75% dư nợ BQ)</t>
        </is>
      </c>
    </row>
    <row r="72">
      <c r="A72" s="111" t="inlineStr">
        <is>
          <t>MB – Tỷ trọng Dư nợ Bất động sản / Dư nợ cho vay HN</t>
        </is>
      </c>
      <c r="B72" s="112" t="inlineStr">
        <is>
          <t>%</t>
        </is>
      </c>
      <c r="C72" s="113">
        <f>BCTC_MB_Goc!D57/BCTC_MB_Goc!D22</f>
        <v/>
      </c>
      <c r="D72" s="113">
        <f>BCTC_MB_Goc!E57/BCTC_MB_Goc!E22</f>
        <v/>
      </c>
      <c r="E72" s="113">
        <f>BCTC_MB_Goc!F57/BCTC_MB_Goc!F22</f>
        <v/>
      </c>
      <c r="F72" s="113">
        <f>BCTC_MB_Goc!G57/BCTC_MB_Goc!G22</f>
        <v/>
      </c>
      <c r="G72" s="113">
        <f>BCTC_MB_Goc!H57/BCTC_MB_Goc!H22</f>
        <v/>
      </c>
      <c r="H72" s="113">
        <f>BCTC_MB_Goc!I57/BCTC_MB_Goc!I22</f>
        <v/>
      </c>
      <c r="I72" s="114" t="inlineStr">
        <is>
          <t>Mục 4.5, 5.3 (dư nợ kinh doanh BĐS TM 10.4 BCTC)</t>
        </is>
      </c>
    </row>
    <row r="73">
      <c r="A73" s="111" t="inlineStr">
        <is>
          <t>MB – Tỷ trọng Dư nợ Xây dựng / Dư nợ cho vay HN</t>
        </is>
      </c>
      <c r="B73" s="112" t="inlineStr">
        <is>
          <t>%</t>
        </is>
      </c>
      <c r="C73" s="113">
        <f>BCTC_MB_Goc!D58/BCTC_MB_Goc!D22</f>
        <v/>
      </c>
      <c r="D73" s="113">
        <f>BCTC_MB_Goc!E58/BCTC_MB_Goc!E22</f>
        <v/>
      </c>
      <c r="E73" s="113">
        <f>BCTC_MB_Goc!F58/BCTC_MB_Goc!F22</f>
        <v/>
      </c>
      <c r="F73" s="113">
        <f>BCTC_MB_Goc!G58/BCTC_MB_Goc!G22</f>
        <v/>
      </c>
      <c r="G73" s="113">
        <f>BCTC_MB_Goc!H58/BCTC_MB_Goc!H22</f>
        <v/>
      </c>
      <c r="H73" s="113">
        <f>BCTC_MB_Goc!I58/BCTC_MB_Goc!I22</f>
        <v/>
      </c>
      <c r="I73" s="114" t="inlineStr">
        <is>
          <t>Mục 4.5, 5.3 (dư nợ ngành xây dựng TM 10.4 BCTC)</t>
        </is>
      </c>
    </row>
    <row r="74">
      <c r="A74" s="130" t="inlineStr">
        <is>
          <t>Agribank – Tỷ trọng Nợ nhóm 2 / Tổng dư nợ cho vay HN</t>
        </is>
      </c>
      <c r="B74" s="131" t="inlineStr">
        <is>
          <t>%</t>
        </is>
      </c>
      <c r="C74" s="132">
        <f>BCTC_Agribank_Goc!D18/BCTC_Agribank_Goc!D24</f>
        <v/>
      </c>
      <c r="D74" s="132">
        <f>BCTC_Agribank_Goc!E18/BCTC_Agribank_Goc!E24</f>
        <v/>
      </c>
      <c r="E74" s="132">
        <f>BCTC_Agribank_Goc!F18/BCTC_Agribank_Goc!F24</f>
        <v/>
      </c>
      <c r="F74" s="132">
        <f>BCTC_Agribank_Goc!G18/BCTC_Agribank_Goc!G24</f>
        <v/>
      </c>
      <c r="G74" s="132">
        <f>BCTC_Agribank_Goc!H18/BCTC_Agribank_Goc!H24</f>
        <v/>
      </c>
      <c r="H74" s="132">
        <f>BCTC_Agribank_Goc!I18/BCTC_Agribank_Goc!I24</f>
        <v/>
      </c>
      <c r="I74" s="129" t="inlineStr">
        <is>
          <t>Mục 4.1, 5.1 (nợ cần chú ý chiếm 1,08%–2,48% dư nợ)</t>
        </is>
      </c>
    </row>
    <row r="75">
      <c r="A75" s="130" t="inlineStr">
        <is>
          <t>Agribank – Tăng trưởng Nợ nhóm 2 so năm trước</t>
        </is>
      </c>
      <c r="B75" s="131" t="inlineStr">
        <is>
          <t>%</t>
        </is>
      </c>
      <c r="C75" s="132">
        <f>(BCTC_Agribank_Goc!D18-BCTC_Agribank_Goc!D64)/BCTC_Agribank_Goc!D64</f>
        <v/>
      </c>
      <c r="D75" s="132">
        <f>BCTC_Agribank_Goc!E18/BCTC_Agribank_Goc!D18-1</f>
        <v/>
      </c>
      <c r="E75" s="132">
        <f>BCTC_Agribank_Goc!F18/BCTC_Agribank_Goc!E18-1</f>
        <v/>
      </c>
      <c r="F75" s="132">
        <f>BCTC_Agribank_Goc!G18/BCTC_Agribank_Goc!F18-1</f>
        <v/>
      </c>
      <c r="G75" s="132">
        <f>BCTC_Agribank_Goc!H18/BCTC_Agribank_Goc!G18-1</f>
        <v/>
      </c>
      <c r="H75" s="132">
        <f>BCTC_Agribank_Goc!I18/BCTC_Agribank_Goc!H18-1</f>
        <v/>
      </c>
      <c r="I75" s="129" t="inlineStr">
        <is>
          <t>Mục 4.1, 5.1 (2020 so 2019 giảm -11,96%)</t>
        </is>
      </c>
    </row>
    <row r="76">
      <c r="A76" s="130" t="inlineStr">
        <is>
          <t>Agribank – Tỷ lệ nợ Nhóm 2–5 / Tổng dư nợ cho vay HN</t>
        </is>
      </c>
      <c r="B76" s="131" t="inlineStr">
        <is>
          <t>%</t>
        </is>
      </c>
      <c r="C76" s="132">
        <f>(BCTC_Agribank_Goc!D18+BCTC_Agribank_Goc!D25)/BCTC_Agribank_Goc!D24</f>
        <v/>
      </c>
      <c r="D76" s="132">
        <f>(BCTC_Agribank_Goc!E18+BCTC_Agribank_Goc!E25)/BCTC_Agribank_Goc!E24</f>
        <v/>
      </c>
      <c r="E76" s="132">
        <f>(BCTC_Agribank_Goc!F18+BCTC_Agribank_Goc!F25)/BCTC_Agribank_Goc!F24</f>
        <v/>
      </c>
      <c r="F76" s="132">
        <f>(BCTC_Agribank_Goc!G18+BCTC_Agribank_Goc!G25)/BCTC_Agribank_Goc!G24</f>
        <v/>
      </c>
      <c r="G76" s="132">
        <f>(BCTC_Agribank_Goc!H18+BCTC_Agribank_Goc!H25)/BCTC_Agribank_Goc!H24</f>
        <v/>
      </c>
      <c r="H76" s="132">
        <f>(BCTC_Agribank_Goc!I18+BCTC_Agribank_Goc!I25)/BCTC_Agribank_Goc!I24</f>
        <v/>
      </c>
      <c r="I76" s="129" t="inlineStr">
        <is>
          <t>Tổng nợ có vấn đề rộng (Problem Loans) chiếm 2,4%–4,3% dư nợ</t>
        </is>
      </c>
    </row>
    <row r="77">
      <c r="A77" s="130" t="inlineStr">
        <is>
          <t>MB – Tỷ trọng Nợ nhóm 5 / Tổng nợ xấu HN</t>
        </is>
      </c>
      <c r="B77" s="131" t="inlineStr">
        <is>
          <t>%</t>
        </is>
      </c>
      <c r="C77" s="132">
        <f>BCTC_MB_Goc!D21/BCTC_MB_Goc!D23</f>
        <v/>
      </c>
      <c r="D77" s="132">
        <f>BCTC_MB_Goc!E21/BCTC_MB_Goc!E23</f>
        <v/>
      </c>
      <c r="E77" s="132">
        <f>BCTC_MB_Goc!F21/BCTC_MB_Goc!F23</f>
        <v/>
      </c>
      <c r="F77" s="132">
        <f>BCTC_MB_Goc!G21/BCTC_MB_Goc!G23</f>
        <v/>
      </c>
      <c r="G77" s="132">
        <f>BCTC_MB_Goc!H21/BCTC_MB_Goc!H23</f>
        <v/>
      </c>
      <c r="H77" s="132">
        <f>BCTC_MB_Goc!I21/BCTC_MB_Goc!I23</f>
        <v/>
      </c>
      <c r="I77" s="129" t="inlineStr">
        <is>
          <t>Mục 4.1, 5.2 (nợ nhóm 5 chỉ chiếm 25,1%–45,8% nợ xấu MB)</t>
        </is>
      </c>
    </row>
    <row r="78">
      <c r="A78" s="130" t="inlineStr">
        <is>
          <t>MB – Tỷ lệ Thu hồi nợ đã XLRR / Dư nợ bình quân</t>
        </is>
      </c>
      <c r="B78" s="131" t="inlineStr">
        <is>
          <t>%</t>
        </is>
      </c>
      <c r="C78" s="132">
        <f>BCTC_MB_Goc!D42/AVERAGE(BCTC_MB_Goc!D64,BCTC_MB_Goc!D22)</f>
        <v/>
      </c>
      <c r="D78" s="132">
        <f>BCTC_MB_Goc!E42/AVERAGE(BCTC_MB_Goc!D22,BCTC_MB_Goc!E22)</f>
        <v/>
      </c>
      <c r="E78" s="132">
        <f>BCTC_MB_Goc!F42/AVERAGE(BCTC_MB_Goc!E22,BCTC_MB_Goc!F22)</f>
        <v/>
      </c>
      <c r="F78" s="132">
        <f>BCTC_MB_Goc!G42/AVERAGE(BCTC_MB_Goc!F22,BCTC_MB_Goc!G22)</f>
        <v/>
      </c>
      <c r="G78" s="132">
        <f>BCTC_MB_Goc!H42/AVERAGE(BCTC_MB_Goc!G22,BCTC_MB_Goc!H22)</f>
        <v/>
      </c>
      <c r="H78" s="132">
        <f>BCTC_MB_Goc!I42/AVERAGE(BCTC_MB_Goc!H22,BCTC_MB_Goc!I22)</f>
        <v/>
      </c>
      <c r="I78" s="129" t="inlineStr">
        <is>
          <t>Mục 4.2, 5.4 (thu nợ đã XLRR đạt 0,32%–0,81% dư nợ bình quân)</t>
        </is>
      </c>
    </row>
    <row r="79">
      <c r="A79" s="130" t="inlineStr">
        <is>
          <t>MB – Thu hồi nợ đã XLRR / Chi phí dự phòng tín dụng</t>
        </is>
      </c>
      <c r="B79" s="131" t="inlineStr">
        <is>
          <t>%</t>
        </is>
      </c>
      <c r="C79" s="132">
        <f>BCTC_MB_Goc!D42/Du_lieu!C40</f>
        <v/>
      </c>
      <c r="D79" s="132">
        <f>BCTC_MB_Goc!E42/Du_lieu!D40</f>
        <v/>
      </c>
      <c r="E79" s="132">
        <f>BCTC_MB_Goc!F42/Du_lieu!E40</f>
        <v/>
      </c>
      <c r="F79" s="132">
        <f>BCTC_MB_Goc!G42/Du_lieu!F40</f>
        <v/>
      </c>
      <c r="G79" s="132">
        <f>BCTC_MB_Goc!H42/Du_lieu!G40</f>
        <v/>
      </c>
      <c r="H79" s="132">
        <f>BCTC_MB_Goc!I42/Du_lieu!H40</f>
        <v/>
      </c>
      <c r="I79" s="129" t="inlineStr">
        <is>
          <t>Mục 5.4: Khả năng bù đắp rủi ro tín dụng từ thu hồi nợ xấu (20,5%–33,5%)</t>
        </is>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63"/>
  <sheetViews>
    <sheetView topLeftCell="A51" zoomScaleNormal="100" workbookViewId="0">
      <selection activeCell="A1" sqref="A1"/>
    </sheetView>
  </sheetViews>
  <sheetFormatPr baseColWidth="8" defaultColWidth="8.7109375" defaultRowHeight="15"/>
  <cols>
    <col width="6" customWidth="1" min="1" max="1"/>
    <col width="90" customWidth="1" min="2" max="2"/>
    <col width="80" customWidth="1" min="3" max="3"/>
  </cols>
  <sheetData>
    <row r="1" ht="15" customHeight="1">
      <c r="A1" s="36" t="inlineStr">
        <is>
          <t>DANH MỤC NGUỒN (đánh số khớp cột "Nguồn" và Tài liệu tham khảo trong báo cáo Word)</t>
        </is>
      </c>
    </row>
    <row r="3" ht="15" customHeight="1">
      <c r="A3" s="37" t="inlineStr">
        <is>
          <t>Số</t>
        </is>
      </c>
      <c r="B3" s="37" t="inlineStr">
        <is>
          <t>Nguồn</t>
        </is>
      </c>
      <c r="C3" s="37" t="inlineStr">
        <is>
          <t>Đường dẫn</t>
        </is>
      </c>
    </row>
    <row r="4" ht="15" customHeight="1">
      <c r="A4" s="13" t="n">
        <v>1</v>
      </c>
      <c r="B4" s="17" t="inlineStr">
        <is>
          <t>Agribank (2024), Báo cáo thường niên 2023</t>
        </is>
      </c>
      <c r="C4" s="13" t="inlineStr">
        <is>
          <t>https://www.agribank.com.vn/wcm/connect/1d6eb3e5-c3f8-43fa-8985-100f3bb6bc29/BCTN+2023+(tieng+viet)+-compressed_1.pdf</t>
        </is>
      </c>
    </row>
    <row r="5" ht="15" customHeight="1">
      <c r="A5" s="13" t="n">
        <v>2</v>
      </c>
      <c r="B5" s="17" t="inlineStr">
        <is>
          <t>MB (2024), Báo cáo thường niên 2023</t>
        </is>
      </c>
      <c r="C5" s="13" t="inlineStr">
        <is>
          <t>https://cdn.24hmoney.vn/upload/file/2024-2/2024-05-07/no-name-1715046272.pdf</t>
        </is>
      </c>
    </row>
    <row r="6" ht="15" customHeight="1">
      <c r="A6" s="13" t="n">
        <v>3</v>
      </c>
      <c r="B6" s="17" t="inlineStr">
        <is>
          <t>MB (2021), Báo cáo thường niên 2020</t>
        </is>
      </c>
      <c r="C6" s="13" t="inlineStr">
        <is>
          <t>https://static2.vietstock.vn/data/HOSE/2020/BCTN/VN/MBB_Baocaothuongnien_2020.pdf</t>
        </is>
      </c>
    </row>
    <row r="7" ht="15" customHeight="1">
      <c r="A7" s="13" t="n">
        <v>4</v>
      </c>
      <c r="B7" s="17" t="inlineStr">
        <is>
          <t>MB (2022), Báo cáo thường niên 2021</t>
        </is>
      </c>
      <c r="C7" s="13" t="inlineStr">
        <is>
          <t>https://static2.vietstock.vn/data/HOSE/2021/BCTN/VN/MBB_Baocaothuongnien_2021.pdf</t>
        </is>
      </c>
    </row>
    <row r="8" ht="23.25" customHeight="1">
      <c r="A8" s="13" t="n">
        <v>5</v>
      </c>
      <c r="B8" s="17" t="inlineStr">
        <is>
          <t>Báo Đầu tư, bài về kết quả kinh doanh 2023 của MB (LNTT hơn 26.300 tỷ đồng; LLCR 116%; hoàn nhập dự phòng)</t>
        </is>
      </c>
      <c r="C8" s="38" t="inlineStr">
        <is>
          <t>https://baodautu.vn/ngan-hang-quan-doi-mb-bao-lai-truoc-thue-hon-26300-ty-dong-nam-2023-d208151.html</t>
        </is>
      </c>
    </row>
    <row r="9" ht="15" customHeight="1">
      <c r="A9" s="13" t="n">
        <v>6</v>
      </c>
      <c r="B9" s="17" t="inlineStr">
        <is>
          <t>Markettimes, bài về kết quả 2023 của MBBank (nợ xấu, nợ nhóm 2, chi phí dự phòng)</t>
        </is>
      </c>
      <c r="C9" s="38" t="inlineStr">
        <is>
          <t>https://markettimes.vn/mb-lai-truoc-thue-hon-26-300-ty-dong-nam-2023-ty-le-no-xau-hop-nhat-1-6-50125.html</t>
        </is>
      </c>
    </row>
    <row r="10" ht="15" customHeight="1">
      <c r="A10" s="13" t="n">
        <v>7</v>
      </c>
      <c r="B10" s="17" t="inlineStr">
        <is>
          <t>Báo Đầu tư, bài về kết quả quý I/2023 của MB</t>
        </is>
      </c>
      <c r="C10" s="38" t="inlineStr">
        <is>
          <t>https://baodautu.vn/mb-bao-lai-quy-i2023-tang-10-len-hon-6500-ty-dong-d188334.html</t>
        </is>
      </c>
    </row>
    <row r="11" ht="15" customHeight="1">
      <c r="A11" s="13" t="n">
        <v>8</v>
      </c>
      <c r="B11" s="17" t="inlineStr">
        <is>
          <t>Tạp chí Công Thương, bài về nợ xấu MB quý I/2023 (nhóm 2, LLCR 138%)</t>
        </is>
      </c>
      <c r="C11" s="38" t="inlineStr">
        <is>
          <t>https://tapchicongthuong.vn/mb-quy-1-2023-lai-truoc-thue-tang-10-ty-le-no-xau-o-muc-1-75-104856.htm</t>
        </is>
      </c>
    </row>
    <row r="12" ht="15" customHeight="1">
      <c r="A12" s="13" t="n">
        <v>9</v>
      </c>
      <c r="B12" s="17" t="inlineStr">
        <is>
          <t>Báo Pháp luật/Sức khỏe Việt Nam, bài về kết quả quý III/2023 của MB (NPL 1,89%, LLCR ~122%)</t>
        </is>
      </c>
      <c r="C12" s="38" t="inlineStr">
        <is>
          <t>https://doanhnhanphaply.vn/mb-bao-lai-sau-thue-hon-5-700-ty-dong-quy-iii-2023-no-xau-tang-len-1-89-d32662.html</t>
        </is>
      </c>
    </row>
    <row r="13" ht="23.25" customHeight="1">
      <c r="A13" s="13" t="n">
        <v>10</v>
      </c>
      <c r="B13" s="17" t="inlineStr">
        <is>
          <t>Báo Đại biểu Nhân dân, 'Trong nhóm dẫn đầu lợi nhuận ngành ngân hàng nhưng nợ xấu của MB tăng lên hơn 10.000 tỷ đồng'</t>
        </is>
      </c>
      <c r="C13" s="13" t="inlineStr">
        <is>
          <t>https://daibieunhandan.vn/kinh-te-xa-hoi/trong-nhom-dan-dau-loi-nhuan-nganh-ngan-hang-nhung-no-xau-cua-mb-tang-len-hon-10-000-ty-dong-i348466/</t>
        </is>
      </c>
    </row>
    <row r="14" ht="15" customHeight="1">
      <c r="A14" s="13" t="n">
        <v>11</v>
      </c>
      <c r="B14" s="17" t="inlineStr">
        <is>
          <t>Tuổi Trẻ (27/01/2022), 'MB lãi hơn 16.527 tỉ đồng, nợ xấu siêu thấp chỉ 0,68%'</t>
        </is>
      </c>
      <c r="C14" s="13" t="inlineStr">
        <is>
          <t>https://tuoitre.vn/mb-lai-hon-16527-ti-dong-no-xau-sieu-thap-chi-068-20220127164100055.htm</t>
        </is>
      </c>
    </row>
    <row r="15" ht="15" customHeight="1">
      <c r="A15" s="13" t="n">
        <v>12</v>
      </c>
      <c r="B15" s="17" t="inlineStr">
        <is>
          <t>Agribank (2023), Báo cáo thường niên 2022</t>
        </is>
      </c>
      <c r="C15" s="13" t="inlineStr">
        <is>
          <t>https://static2.vietstock.vn/data/KHAC/2022/BCTN/VN/Agribank_Baocaothuongnien_2022.pdf</t>
        </is>
      </c>
    </row>
    <row r="16" ht="15" customHeight="1">
      <c r="A16" s="13" t="n">
        <v>13</v>
      </c>
      <c r="B16" s="17" t="inlineStr">
        <is>
          <t>VNBA, 'Agribank chính thức công bố báo cáo tài chính hợp nhất năm 2020 đã kiểm toán'</t>
        </is>
      </c>
      <c r="C16" s="13" t="inlineStr">
        <is>
          <t>https://vnba.org.vn/vi/agribank-chinh-thuc-cong-bo-bao-cao-tai-chinh-hop-nhat-nam-2020-da-kiem-toan-537.htm</t>
        </is>
      </c>
    </row>
    <row r="17" ht="15" customHeight="1">
      <c r="A17" s="13" t="n">
        <v>14</v>
      </c>
      <c r="B17" s="17" t="inlineStr">
        <is>
          <t>Báo Pháp luật, 'Agribank lãi trước thuế gần 9.500 tỷ đồng nửa đầu năm 2021'</t>
        </is>
      </c>
      <c r="C17" s="13" t="inlineStr">
        <is>
          <t>https://doanhnhan.baophapluat.vn/agribank-lai-truoc-thue-gan-9500-ty-dong-nua-dau-nam-2021-42175.html</t>
        </is>
      </c>
    </row>
    <row r="18" ht="15" customHeight="1">
      <c r="A18" s="13" t="n">
        <v>15</v>
      </c>
      <c r="B18" s="17" t="inlineStr">
        <is>
          <t>Nhà đầu tư, 'Bà Nguyễn Thị Phượng – Phó Tổng giám đốc Agribank: Nợ xấu tăng do tác động của Covid-19'</t>
        </is>
      </c>
      <c r="C18" s="13" t="inlineStr">
        <is>
          <t>https://nhadautu.vn/ba-nguyen-thi-phuong--pho-tong-giam-doc-agribank-no-xau-tang-do-tac-dong-cua-covid-19-d41750.html</t>
        </is>
      </c>
    </row>
    <row r="19" ht="15" customHeight="1">
      <c r="A19" s="13" t="n">
        <v>16</v>
      </c>
      <c r="B19" s="17" t="inlineStr">
        <is>
          <t>Thương Gia Online, 'Ngân hàng Agribank mang về gần 26.000 tỷ đồng lợi nhuận trước thuế trong năm 2023'</t>
        </is>
      </c>
      <c r="C19" s="13" t="inlineStr">
        <is>
          <t>https://thuonggiaonline.vn/ngan-hang-agribank-mang-ve-gan-26000-ty-dong-loi-nhuan-truoc-thue-trong-nam-2023-post550837.html</t>
        </is>
      </c>
    </row>
    <row r="20" ht="15" customHeight="1">
      <c r="A20" s="13" t="n">
        <v>17</v>
      </c>
      <c r="B20" s="17" t="inlineStr">
        <is>
          <t>DNSE, 'Agribank báo lãi lớn, thu nhập nhân viên tăng'</t>
        </is>
      </c>
      <c r="C20" s="13" t="inlineStr">
        <is>
          <t>https://www.dnse.com.vn/senses/tin-tuc/agribank-bao-lai-lon-thu-nhap-nhan-vien-tang-33686821</t>
        </is>
      </c>
    </row>
    <row r="21" ht="15" customHeight="1">
      <c r="A21" s="13" t="n">
        <v>18</v>
      </c>
      <c r="B21" s="17" t="inlineStr">
        <is>
          <t>Nhịp sống kinh doanh, 'Agribank đạt lợi nhuận 22.087 tỷ đồng năm 2022 nhờ đâu?'</t>
        </is>
      </c>
      <c r="C21" s="13" t="inlineStr">
        <is>
          <t>https://nhipsongkinhdoanh.vn/agribank-dat-loi-nhuan-22-087-ty-dong-nam-2022-nho-dau-4021.htm</t>
        </is>
      </c>
    </row>
    <row r="22" ht="15" customHeight="1">
      <c r="A22" s="13" t="n">
        <v>19</v>
      </c>
      <c r="B22" s="17" t="inlineStr">
        <is>
          <t>Dân trí (06/04/2023), 'Khối bất động sản thế chấp gần 2,3 triệu tỷ đồng tại Agribank'</t>
        </is>
      </c>
      <c r="C22" s="13" t="inlineStr">
        <is>
          <t>https://dantri.com.vn/kinh-doanh/khoi-bat-dong-san-the-chap-gan-23-trieu-ty-dong-tai-agribank-20230406020212578.htm</t>
        </is>
      </c>
    </row>
    <row r="23" ht="23.25" customHeight="1">
      <c r="A23" s="13" t="n">
        <v>20</v>
      </c>
      <c r="B23" s="17" t="inlineStr">
        <is>
          <t>Báo Đầu tư, 'Agribank công bố báo cáo tài chính: giữ vững thị phần top đầu, nợ xấu giảm, bao phủ nợ xấu tăng'</t>
        </is>
      </c>
      <c r="C23" s="13" t="inlineStr">
        <is>
          <t>https://baodautu.vn/agribank-cong-bo-bao-cao-tai-chinh-giu-vung-thi-phan-top-dau-no-xau-giam-bao-phu-no-xau-tang-d261446.html</t>
        </is>
      </c>
    </row>
    <row r="24" ht="15" customHeight="1">
      <c r="A24" s="13" t="n">
        <v>21</v>
      </c>
      <c r="B24" s="17" t="inlineStr">
        <is>
          <t>Agribank (2024), Bản công bố thông tin/bản cáo bạch trái phiếu phát hành công chúng đợt 2023–2024</t>
        </is>
      </c>
      <c r="C24" s="13" t="inlineStr">
        <is>
          <t>https://pinetree.vn/wp-content/uploads/2024/04/Agribank-Public-Offering-Bond-VBA122001.pdf</t>
        </is>
      </c>
    </row>
    <row r="25" ht="15" customHeight="1">
      <c r="A25" s="13" t="n">
        <v>22</v>
      </c>
      <c r="B25" s="17" t="inlineStr">
        <is>
          <t>Báo Đầu tư, 'Thống đốc giải thích lý do chậm trễ tăng vốn cho Agribank'</t>
        </is>
      </c>
      <c r="C25" s="13" t="inlineStr">
        <is>
          <t>https://baodautu.vn/thong-doc-giai-thich-ly-do-cham-tre-tang-von-cho-agribank-d190288.html</t>
        </is>
      </c>
    </row>
    <row r="26" ht="15" customHeight="1">
      <c r="A26" s="13" t="n">
        <v>23</v>
      </c>
      <c r="B26" s="17" t="inlineStr">
        <is>
          <t>CafeF (25/05/2020), 'Tỷ lệ an toàn vốn Agribank nằm sâu dưới chuẩn'</t>
        </is>
      </c>
      <c r="C26" s="13" t="inlineStr">
        <is>
          <t>https://cafef.vn/ty-le-an-toan-von-agribank-nam-sau-duoi-chuan-20200525150015202.chn</t>
        </is>
      </c>
    </row>
    <row r="27" ht="15" customHeight="1">
      <c r="A27" s="13" t="n">
        <v>24</v>
      </c>
      <c r="B27" s="17" t="inlineStr">
        <is>
          <t>Agribank (2022), Báo cáo thường niên 2021 – Tổng quan</t>
        </is>
      </c>
      <c r="C27" s="13" t="inlineStr">
        <is>
          <t>https://www.agribank.com.vn/wcm/connect/692f4f6e-4465-4c05-afae-9973a103dc57/Tong+quan+2021+(dau+nam)+nhe.pdf</t>
        </is>
      </c>
    </row>
    <row r="28" ht="15" customHeight="1">
      <c r="A28" s="13" t="n">
        <v>25</v>
      </c>
      <c r="B28" s="17" t="inlineStr">
        <is>
          <t>Báo Đầu tư, 'Agribank: Lợi nhuận 6 tháng giảm, tăng bao phủ nợ xấu'</t>
        </is>
      </c>
      <c r="C28" s="13" t="inlineStr">
        <is>
          <t>https://baodautu.vn/agribank-loi-nhuan-6-thang-giam-tang-bao-phu-no-xau-d195207.html</t>
        </is>
      </c>
    </row>
    <row r="29" ht="15" customHeight="1">
      <c r="A29" s="13" t="n">
        <v>26</v>
      </c>
      <c r="B29" s="17" t="inlineStr">
        <is>
          <t>VnEconomy (14/03/2024), 'Cảnh báo nợ xấu nội bảng toàn hệ thống là 4,55%…'</t>
        </is>
      </c>
      <c r="C29" s="13" t="inlineStr">
        <is>
          <t>https://vneconomy.vn/canh-bao-no-xau-noi-bang-toan-he-thong-la-4-55-va-ty-le-tin-dung-gdp-khoang-133.htm</t>
        </is>
      </c>
    </row>
    <row r="30" ht="15" customHeight="1">
      <c r="A30" s="13" t="n">
        <v>27</v>
      </c>
      <c r="B30" s="17" t="inlineStr">
        <is>
          <t>Báo Dân Việt, 'Tỷ lệ nợ xấu nội bảng tiến về sát ngưỡng 3%, lộ nợ xấu tiềm ẩn mới nhất'</t>
        </is>
      </c>
      <c r="C30" s="13" t="inlineStr">
        <is>
          <t>https://etime.danviet.vn/nguong-3-no-xau-bi-de-doa-lo-ty-le-no-xau-tiem-an-moi-nhat-20230503163330562-d111889.html</t>
        </is>
      </c>
    </row>
    <row r="31" ht="15" customHeight="1">
      <c r="A31" s="13" t="n">
        <v>28</v>
      </c>
      <c r="B31" s="17" t="inlineStr">
        <is>
          <t>VnExpress, 'Tỷ lệ nợ xấu nội bảng của các ngân hàng trên 4%'</t>
        </is>
      </c>
      <c r="C31" s="13" t="inlineStr">
        <is>
          <t>https://vnexpress.net/ty-le-no-xau-noi-bang-cua-cac-ngan-hang-tren-4-4888019.html</t>
        </is>
      </c>
    </row>
    <row r="32" ht="15" customHeight="1">
      <c r="A32" s="13" t="n">
        <v>29</v>
      </c>
      <c r="B32" s="17" t="inlineStr">
        <is>
          <t>Thời báo Tài chính Việt Nam, 'Có quá đáng ngại khi nợ xấu ngân hàng gia tăng?'</t>
        </is>
      </c>
      <c r="C32" s="13" t="inlineStr">
        <is>
          <t>https://thoibaotaichinhvietnam.vn/co-qua-dang-ngai-khi-no-xau-ngan-hang-gia-tang-156212-156212.html</t>
        </is>
      </c>
    </row>
    <row r="33" ht="15" customHeight="1">
      <c r="A33" s="13" t="n">
        <v>30</v>
      </c>
      <c r="B33" s="17" t="inlineStr">
        <is>
          <t>CafeF, 'Thông tư quan trọng về cơ cấu, giữ nguyên nhóm nợ của ngành ngân hàng sắp hết hiệu lực'</t>
        </is>
      </c>
      <c r="C33" s="13" t="inlineStr">
        <is>
          <t>https://cafef.vn/thong-tu-quan-trong-ve-co-cau-giu-nguyen-nhom-no-cua-nganh-ngan-hang-sap-het-hieu-luc-188241119113708193.chn</t>
        </is>
      </c>
    </row>
    <row r="34" ht="15" customHeight="1">
      <c r="A34" s="13" t="n">
        <v>31</v>
      </c>
      <c r="B34" s="17" t="inlineStr">
        <is>
          <t>NHNN, Thông tư 02/2023/TT-NHNN (thuvienphapluat.vn)</t>
        </is>
      </c>
      <c r="C34" s="13" t="inlineStr">
        <is>
          <t>https://thuvienphapluat.vn/van-ban/Tien-te-Ngan-hang/Thong-tu-02-2023-TT-NHNN-to-chuc-tin-dung-co-cau-lai-thoi-han-tra-no-ho-tro-khach-hang-564081.aspx</t>
        </is>
      </c>
    </row>
    <row r="35" ht="15" customHeight="1">
      <c r="A35" s="13" t="n">
        <v>32</v>
      </c>
      <c r="B35" s="17" t="inlineStr">
        <is>
          <t>Báo Chính phủ, 'Kéo dài thêm 6 tháng thời gian cơ cấu thời hạn trả nợ cho khách hàng'</t>
        </is>
      </c>
      <c r="C35" s="13" t="inlineStr">
        <is>
          <t>https://baochinhphu.vn/keo-dai-them-6-thang-thoi-gian-co-cau-thoi-han-tra-no-cho-khach-hang-10224062415392134.htm</t>
        </is>
      </c>
    </row>
    <row r="36" ht="15" customHeight="1">
      <c r="A36" s="13" t="n">
        <v>33</v>
      </c>
      <c r="B36" s="17" t="inlineStr">
        <is>
          <t>Báo Đấu thầu, 'Vụ án tại Agribank: Doanh nghiệp “cám ơn” hàng chục tỷ đồng' (xét xử sơ thẩm Lifepro)</t>
        </is>
      </c>
      <c r="C36" s="13" t="inlineStr">
        <is>
          <t>https://baodauthau.vn/vu-an-tai-agribank-doanh-nghiep-cam-on-hang-chuc-ty-dong-post7826.html</t>
        </is>
      </c>
    </row>
    <row r="37" ht="15" customHeight="1">
      <c r="A37" s="13" t="n">
        <v>34</v>
      </c>
      <c r="B37" s="17" t="inlineStr">
        <is>
          <t>Báo Đấu thầu, 'Chuẩn bị xử phúc thẩm vụ án tại Agribank'</t>
        </is>
      </c>
      <c r="C37" s="13" t="inlineStr">
        <is>
          <t>https://baodauthau.vn/chuan-bi-xu-phuc-tham-vu-an-tai-agribank-post20758.html</t>
        </is>
      </c>
    </row>
    <row r="38" ht="15" customHeight="1">
      <c r="A38" s="13" t="n">
        <v>35</v>
      </c>
      <c r="B38" s="17" t="inlineStr">
        <is>
          <t>VietnamPlus, 'Nguyên Giám đốc Agribank Nam Hà Nội bị tuyên án 30 năm tù'</t>
        </is>
      </c>
      <c r="C38" s="13" t="inlineStr">
        <is>
          <t>https://www.vietnamplus.vn/nguyen-giam-doc-agribank-nam-ha-noi-bi-tuyen-an-30-nam-tu-post365073.vnp</t>
        </is>
      </c>
    </row>
    <row r="39" ht="15" customHeight="1">
      <c r="A39" s="13" t="n">
        <v>36</v>
      </c>
      <c r="B39" s="17" t="inlineStr">
        <is>
          <t>VietnamFinance (04/05/2018), 'Agribank bán thành công TSBĐ của liên doanh tai tiếng Lifepro, thu về trăm tỷ'</t>
        </is>
      </c>
      <c r="C39" s="13" t="inlineStr">
        <is>
          <t>https://vietnamfinance.vn/agribank-ban-thanh-cong-tsbd-cua-lien-doanh-tai-tieng-lifepro-thu-ve-tram-ty-20180504224222981.htm</t>
        </is>
      </c>
    </row>
    <row r="40" ht="23.25" customHeight="1">
      <c r="A40" s="13" t="n">
        <v>37</v>
      </c>
      <c r="B40" s="17" t="inlineStr">
        <is>
          <t>Cựu Chiến Binh Việt Nam, 'Tuyên án 16 năm tù cho cán bộ ngân hàng lừa đảo chiếm đoạt tài sản hơn 32 tỷ đồng' (vụ MB Gia Lai)</t>
        </is>
      </c>
      <c r="C40" s="13" t="inlineStr">
        <is>
          <t>https://cuuchienbinh.vn/untitled-2649-d37384.html</t>
        </is>
      </c>
    </row>
    <row r="41" ht="23.25" customHeight="1">
      <c r="A41" s="13" t="n">
        <v>38</v>
      </c>
      <c r="B41" s="17" t="inlineStr">
        <is>
          <t>Văn bản pháp luật gốc: Luật Các TCTD 2010 (sửa đổi 2017) và Luật 2024; NQ 42/2017/QH14; TT 01/2020, 03/2021, 14/2021, 11/2021, 41/2016, 22/2019, 13/2018/TT-NHNN</t>
        </is>
      </c>
      <c r="C41" s="13" t="inlineStr">
        <is>
          <t>https://thuvienphapluat.vn (tra cứu theo số hiệu; cần đối chiếu ngày hiệu lực)</t>
        </is>
      </c>
    </row>
    <row r="42" ht="23.25" customHeight="1">
      <c r="A42" s="13" t="n">
        <v>39</v>
      </c>
      <c r="B42" s="17" t="inlineStr">
        <is>
          <t>Agribank (2026), Báo cáo thường niên 2025 (bảng chỉ tiêu 2021–2025, BCTC hợp nhất điều chỉnh theo khuyến nghị của Kiểm toán nhà nước)</t>
        </is>
      </c>
      <c r="C42" s="13" t="inlineStr">
        <is>
          <t>https://static2.vietstock.vn/data/KHAC/2025/BCTN/VN/Agribank_Baocaothuongnien_2025.pdf</t>
        </is>
      </c>
    </row>
    <row r="43" ht="15" customHeight="1">
      <c r="A43" s="13" t="n">
        <v>40</v>
      </c>
      <c r="B43" s="17" t="inlineStr">
        <is>
          <t>MB (2026), Báo cáo thường niên 2025</t>
        </is>
      </c>
      <c r="C43" s="13" t="inlineStr">
        <is>
          <t>https://static2.vietstock.vn/data/HOSE/2025/BCTN/VN/MBB_Baocaothuongnien_2025.pdf</t>
        </is>
      </c>
    </row>
    <row r="44" ht="15" customHeight="1">
      <c r="A44" s="13" t="n">
        <v>41</v>
      </c>
      <c r="B44" s="17" t="inlineStr">
        <is>
          <t>MB (2025), Báo cáo thường niên 2024</t>
        </is>
      </c>
      <c r="C44" s="13" t="inlineStr">
        <is>
          <t>https://static2.vietstock.vn/data/HOSE/2024/BCTN/VN/MBB_Baocaothuongnien_2024.pdf</t>
        </is>
      </c>
    </row>
    <row r="45" ht="15" customHeight="1">
      <c r="A45" s="13" t="n">
        <v>42</v>
      </c>
      <c r="B45" s="17" t="inlineStr">
        <is>
          <t>Vietnambiz, 'Agribank công bố báo cáo tài chính: Lãi từ kinh doanh vàng và ngoại hối tăng gấp đôi trong 2024'</t>
        </is>
      </c>
      <c r="C45" s="13" t="inlineStr">
        <is>
          <t>https://vietnambiz.vn/agribank-cong-bo-bao-cao-tai-chinh-lai-tu-kinh-doanh-vang-va-ngoai-hoi-tang-gap-doi-trong-2025-202533182112.htm</t>
        </is>
      </c>
    </row>
    <row r="46" ht="15" customHeight="1">
      <c r="A46" s="13" t="n">
        <v>43</v>
      </c>
      <c r="B46" s="17" t="inlineStr">
        <is>
          <t>Người đưa tin, 'Agribank lãi gấp đôi từ kinh doanh vàng và ngoại hối' (nợ nhóm 3–5 năm 2024)</t>
        </is>
      </c>
      <c r="C46" s="13" t="inlineStr">
        <is>
          <t>https://www.nguoiduatin.vn/agribank-lai-gap-doi-tu-kinh-doanh-vang-va-ngoai-hoi-204250331104146996.htm</t>
        </is>
      </c>
    </row>
    <row r="47" ht="15" customHeight="1">
      <c r="A47" s="13" t="n">
        <v>44</v>
      </c>
      <c r="B47" s="17" t="inlineStr">
        <is>
          <t>BNEWS, 'Nợ xấu của Agribank giảm cả về tuyệt đối lẫn tỷ lệ tương đối'</t>
        </is>
      </c>
      <c r="C47" s="13" t="inlineStr">
        <is>
          <t>https://bnews.vn/no-xau-cua-agribank-giam-ca-ve-tuyet-doi-lan-ty-le-tuong-doi/370267.html</t>
        </is>
      </c>
    </row>
    <row r="48" ht="15" customHeight="1">
      <c r="A48" s="13" t="n">
        <v>45</v>
      </c>
      <c r="B48" s="17" t="inlineStr">
        <is>
          <t>Người Quan Sát, 'Quý IV thăng hoa, MB chốt sổ năm 2025 với lợi nhuận hơn 34.000 tỷ đồng'</t>
        </is>
      </c>
      <c r="C48" s="13" t="inlineStr">
        <is>
          <t>https://nguoiquansat.vn/quy-iv-thang-hoa-mb-chot-so-nam-2025-voi-loi-nhuan-hon-34-000-ty-dong-271526.html</t>
        </is>
      </c>
    </row>
    <row r="49" ht="15" customHeight="1">
      <c r="A49" s="13" t="n">
        <v>46</v>
      </c>
      <c r="B49" s="17" t="inlineStr">
        <is>
          <t>Nhịp sống kinh doanh, 'MB đặt mục tiêu lãi 39.500 tỷ đồng năm 2026…'</t>
        </is>
      </c>
      <c r="C49" s="13" t="inlineStr">
        <is>
          <t>https://nhipsongkinhdoanh.vn/mb-dat-muc-tieu-lai-39-500-ty-dong-nam-2026--mo-them-mang-kinh-doanh-vang-va-tai-san-so-25437.htm</t>
        </is>
      </c>
    </row>
    <row r="50" ht="15" customHeight="1">
      <c r="A50" s="13" t="n">
        <v>47</v>
      </c>
      <c r="B50" s="17" t="inlineStr">
        <is>
          <t>DNSE, 'Bất ngờ với lợi nhuận của MB giảm trong quý III, nợ xấu tăng hơn 38%'</t>
        </is>
      </c>
      <c r="C50" s="13" t="inlineStr">
        <is>
          <t>https://www.dnse.com.vn/senses/tin-tuc/bat-ngo-voi-loi-nhuan-cua-mb-giam-trong-quy-iii-no-xau-tang-hon-38-35157227</t>
        </is>
      </c>
    </row>
    <row r="51" ht="15" customHeight="1">
      <c r="A51" s="13" t="n">
        <v>48</v>
      </c>
      <c r="B51" s="17" t="inlineStr">
        <is>
          <t>CafeLand, 'Bức tranh nợ xấu ngân hàng quý 1/2025'</t>
        </is>
      </c>
      <c r="C51" s="13" t="inlineStr">
        <is>
          <t>https://cafeland.vn/tin-tuc/buc-tranh-no-xau-ngan-hang-quy-12025-138698.html</t>
        </is>
      </c>
    </row>
    <row r="52" ht="15" customHeight="1">
      <c r="A52" s="13" t="n">
        <v>49</v>
      </c>
      <c r="B52" s="17" t="inlineStr">
        <is>
          <t>Thời báo Tài chính Việt Nam, 'Nợ xấu tăng 14%, nhiều ngân hàng vẫn ngược dòng siết kỷ luật tín dụng'</t>
        </is>
      </c>
      <c r="C52" s="13" t="inlineStr">
        <is>
          <t>https://thoibaotaichinhvietnam.vn/no-xau-tang-14-nhieu-ngan-hang-van-nguoc-dong-siet-ky-luat-tin-dung-193810-193810.html</t>
        </is>
      </c>
    </row>
    <row r="53" ht="23.25" customHeight="1">
      <c r="A53" s="13" t="n">
        <v>50</v>
      </c>
      <c r="B53" s="17" t="inlineStr">
        <is>
          <t>VCCI (dẫn Mirae Asset), 'Dự báo nợ xấu ngành ngân hàng năm 2025 tăng nhẹ trước khi tiếp tục xu hướng giảm'</t>
        </is>
      </c>
      <c r="C53" s="13" t="inlineStr">
        <is>
          <t>https://www.vcci.com.vn/news/du-bao-no-xau-nganh-ngan-hang-nam-2025-tang-nhe-truoc-khi-tiep-tuc-xu-huong-giam</t>
        </is>
      </c>
    </row>
    <row r="54" ht="15" customHeight="1">
      <c r="A54" s="13" t="n">
        <v>51</v>
      </c>
      <c r="B54" s="17" t="inlineStr">
        <is>
          <t>CafeF, 'Tổng nợ xấu ngân hàng đã lên tới hơn 1 triệu tỷ đồng…' (nợ xấu gộp 5,46% cuối 2024)</t>
        </is>
      </c>
      <c r="C54" s="13" t="inlineStr">
        <is>
          <t>https://cafef.vn/tong-no-xau-ngan-hang-da-len-toi-hon-1-trieu-ty-dong-va-co-677000-ty-dong-da-duoc-xu-ly-bang-du-phong-nhung-chua-thu-hoi-duoc-188250506155913006.chn</t>
        </is>
      </c>
    </row>
    <row r="55" ht="15" customHeight="1">
      <c r="A55" s="13" t="n">
        <v>52</v>
      </c>
      <c r="B55" s="17" t="inlineStr">
        <is>
          <t>Tin nhanh chứng khoán, 'Bức tranh nợ xấu và bao phủ nợ xấu của ngành ngân hàng' (quý IV/2025)</t>
        </is>
      </c>
      <c r="C55" s="13" t="inlineStr">
        <is>
          <t>https://www.tinnhanhchungkhoan.vn/buc-tranh-no-xau-va-bao-phu-no-xau-cua-nganh-ngan-hang-post385983.html</t>
        </is>
      </c>
    </row>
    <row r="56" ht="15" customHeight="1">
      <c r="A56" s="13" t="n">
        <v>53</v>
      </c>
      <c r="B56" s="17" t="inlineStr">
        <is>
          <t>Báo Nhân Dân, 'Tỷ lệ nợ xấu nội bảng ở mức 1,88%'</t>
        </is>
      </c>
      <c r="C56" s="13" t="inlineStr">
        <is>
          <t>https://nhandan.vn/ty-le-no-xau-noi-bang-o-muc-188-post877914.html</t>
        </is>
      </c>
    </row>
    <row r="57" ht="15" customHeight="1">
      <c r="A57" s="13" t="n">
        <v>54</v>
      </c>
      <c r="B57" s="17" t="inlineStr">
        <is>
          <t>Thuvienphapluat, Thông tư 31/2024/TT-NHNN (ban hành 30/6/2024)</t>
        </is>
      </c>
      <c r="C57" s="13" t="inlineStr">
        <is>
          <t>https://thuvienphapluat.vn/van-ban/Tien-te-Ngan-hang/Thong-tu-31-2024-TT-NHNN-phan-loai-tai-san-co-trong-hoat-dong-cua-ngan-hang-thuong-mai-616233.aspx</t>
        </is>
      </c>
    </row>
    <row r="58" ht="15" customHeight="1">
      <c r="A58" s="13" t="n">
        <v>55</v>
      </c>
      <c r="B58" s="17" t="inlineStr">
        <is>
          <t>Báo Pháp luật, 'Agribank chốt mục tiêu lợi nhuận 32.500 tỷ đồng năm 2026, siết chặt nợ xấu dưới 1,5%'</t>
        </is>
      </c>
      <c r="C58" s="13" t="inlineStr">
        <is>
          <t>https://doanhnhan.baophapluat.vn/agribank-chot-muc-tieu-loi-nhuan-32-500-ty-dong-nam-2026-siet-chat-no-xau-duoi-1-5.html</t>
        </is>
      </c>
    </row>
    <row r="59" ht="23.25" customHeight="1">
      <c r="A59" s="13" t="n">
        <v>56</v>
      </c>
      <c r="B59" s="17" t="inlineStr">
        <is>
          <t>Tạp chí Kinh tế Tài chính, 'Agribank trở thành ngân hàng có lãi cao thứ 5 toàn thị trường' (CAR cuối 2023, tài sản bảo đảm)</t>
        </is>
      </c>
      <c r="C59" s="13" t="inlineStr">
        <is>
          <t>https://tapchikinhtetaichinh.vn/agribank-tro-thanh-ngan-hang-co-lai-cao-thu-5-toan-thi-truong-24733.html</t>
        </is>
      </c>
    </row>
    <row r="60">
      <c r="A60" s="133" t="n">
        <v>57</v>
      </c>
      <c r="B60" s="134" t="inlineStr">
        <is>
          <t>Deloitte Việt Nam (2021), Báo cáo kiểm toán Báo cáo tài chính hợp nhất năm 2020 của Agribank</t>
        </is>
      </c>
      <c r="C60" s="135" t="inlineStr">
        <is>
          <t>https://www.agribank.com.vn/wcm/connect/fa0c793f-6725-4c07-bf39-4d33454b5df6/BCTC+Hop+nhat+2020_Deloitte.pdf</t>
        </is>
      </c>
    </row>
    <row r="61">
      <c r="A61" s="133" t="n">
        <v>58</v>
      </c>
      <c r="B61" s="134" t="inlineStr">
        <is>
          <t>KPMG Việt Nam (2021), Báo cáo kiểm toán Báo cáo tài chính hợp nhất năm 2020 của Ngân hàng TMCP Quân đội (MB)</t>
        </is>
      </c>
      <c r="C61" s="135" t="inlineStr">
        <is>
          <t>https://static2.vietstock.vn/data/HOSE/2020/BCTC/VN/MBB_Baocaotaichinh_2020_Kiemtoan_Hopnhat.pdf</t>
        </is>
      </c>
    </row>
    <row r="62">
      <c r="A62" s="133" t="n">
        <v>59</v>
      </c>
      <c r="B62" s="134" t="inlineStr">
        <is>
          <t>Agribank (2021), Báo cáo thường niên năm 2020: Đổi mới - Bền vững - Trách nhiệm cộng đồng</t>
        </is>
      </c>
      <c r="C62" s="135" t="inlineStr">
        <is>
          <t>https://www.agribank.com.vn/wcm/connect/557cf183-4ee5-4b06-a83a-d68a98f12258/BCTN+2020+Agribank.pdf</t>
        </is>
      </c>
    </row>
    <row r="63">
      <c r="A63" s="133" t="n">
        <v>60</v>
      </c>
      <c r="B63" s="134" t="inlineStr">
        <is>
          <t>Ngân hàng TMCP Quân đội - MB (2021), Báo cáo thường niên năm 2020: Chuyển đổi số toàn diện</t>
        </is>
      </c>
      <c r="C63" s="135" t="inlineStr">
        <is>
          <t>https://www.mbbank.com.vn/resources/investor/BaoCaoThuongNien/2020/MBB_BCTN_2020.pdf</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61"/>
  <sheetViews>
    <sheetView topLeftCell="A51" workbookViewId="0">
      <selection activeCell="A1" sqref="A1"/>
    </sheetView>
  </sheetViews>
  <sheetFormatPr baseColWidth="8" defaultRowHeight="15"/>
  <cols>
    <col width="46" customWidth="1" min="1" max="1"/>
    <col width="24" customWidth="1" min="2" max="2"/>
    <col width="26" customWidth="1" min="3" max="5"/>
  </cols>
  <sheetData>
    <row r="1" ht="18.75" customHeight="1">
      <c r="A1" s="52" t="inlineStr">
        <is>
          <t>MÔ HÌNH KIỂM TRA SỨC CHỊU ĐỰNG VĨ MÔ (MACROECONOMIC STRESS TESTING) NĂM 2026</t>
        </is>
      </c>
    </row>
    <row r="2">
      <c r="A2" s="53" t="inlineStr">
        <is>
          <t>Mô phỏng 3 kịch bản: Cơ sở (Baseline), Tiêu cực (Adverse) và Cực đoan (Severe) theo chuẩn Basel II/III (ICAAP)</t>
        </is>
      </c>
    </row>
    <row r="4">
      <c r="A4" s="54" t="inlineStr">
        <is>
          <t>BẢNG 1: GIẢ ĐỊNH KỊCH BẢN VĨ MÔ NĂM 2026</t>
        </is>
      </c>
      <c r="B4" s="55" t="n"/>
      <c r="C4" s="55" t="n"/>
      <c r="D4" s="55" t="n"/>
      <c r="E4" s="55" t="n"/>
    </row>
    <row r="5">
      <c r="A5" s="42" t="inlineStr">
        <is>
          <t>Biến số vĩ mô</t>
        </is>
      </c>
      <c r="B5" s="42" t="inlineStr">
        <is>
          <t>Đơn vị</t>
        </is>
      </c>
      <c r="C5" s="42" t="inlineStr">
        <is>
          <t>Kịch bản Cơ sở (Baseline)</t>
        </is>
      </c>
      <c r="D5" s="42" t="inlineStr">
        <is>
          <t>Kịch bản Tiêu cực (Adverse)</t>
        </is>
      </c>
      <c r="E5" s="42" t="inlineStr">
        <is>
          <t>Kịch bản Cực đoan (Severe)</t>
        </is>
      </c>
    </row>
    <row r="6">
      <c r="A6" s="50" t="inlineStr">
        <is>
          <t>Tăng trưởng GDP thực tế</t>
        </is>
      </c>
      <c r="B6" s="45" t="inlineStr">
        <is>
          <t>%</t>
        </is>
      </c>
      <c r="C6" s="56" t="n">
        <v>0.065</v>
      </c>
      <c r="D6" s="56" t="n">
        <v>0.05</v>
      </c>
      <c r="E6" s="56" t="n">
        <v>0.035</v>
      </c>
    </row>
    <row r="7">
      <c r="A7" s="50" t="inlineStr">
        <is>
          <t>Mặt bằng lãi suất cho vay</t>
        </is>
      </c>
      <c r="B7" s="45" t="inlineStr">
        <is>
          <t>điểm cơ bản</t>
        </is>
      </c>
      <c r="C7" s="57" t="inlineStr">
        <is>
          <t>Không đổi (+0 bps)</t>
        </is>
      </c>
      <c r="D7" s="57" t="inlineStr">
        <is>
          <t>+150 bps</t>
        </is>
      </c>
      <c r="E7" s="57" t="inlineStr">
        <is>
          <t>+300 bps</t>
        </is>
      </c>
    </row>
    <row r="8">
      <c r="A8" s="50" t="inlineStr">
        <is>
          <t>Chỉ số giá Bất động sản</t>
        </is>
      </c>
      <c r="B8" s="45" t="inlineStr">
        <is>
          <t>% so năm trước</t>
        </is>
      </c>
      <c r="C8" s="56" t="n">
        <v>0.03</v>
      </c>
      <c r="D8" s="56" t="n">
        <v>-0.1</v>
      </c>
      <c r="E8" s="56" t="n">
        <v>-0.25</v>
      </c>
    </row>
    <row r="9">
      <c r="A9" s="50" t="inlineStr">
        <is>
          <t>Tăng trưởng tín dụng toàn hệ thống</t>
        </is>
      </c>
      <c r="B9" s="45" t="inlineStr">
        <is>
          <t>%</t>
        </is>
      </c>
      <c r="C9" s="56" t="n">
        <v>0.14</v>
      </c>
      <c r="D9" s="56" t="n">
        <v>0.09</v>
      </c>
      <c r="E9" s="56" t="n">
        <v>0.05</v>
      </c>
    </row>
    <row r="10">
      <c r="A10" s="121" t="inlineStr">
        <is>
          <t>Tỷ lệ nợ nhảy nhóm 1 -&gt; nhóm 2 (Agribank)</t>
        </is>
      </c>
      <c r="B10" s="45" t="inlineStr">
        <is>
          <t>%</t>
        </is>
      </c>
      <c r="C10" s="56" t="n">
        <v>0.015</v>
      </c>
      <c r="D10" s="56" t="n">
        <v>0.025</v>
      </c>
      <c r="E10" s="56" t="n">
        <v>0.04</v>
      </c>
    </row>
    <row r="11">
      <c r="A11" s="121" t="inlineStr">
        <is>
          <t>Tỷ lệ nợ nhảy nhóm 2 -&gt; nợ xấu nhóm 3-5 (Agribank)</t>
        </is>
      </c>
      <c r="B11" s="45" t="inlineStr">
        <is>
          <t>%</t>
        </is>
      </c>
      <c r="C11" s="56" t="n">
        <v>0.15</v>
      </c>
      <c r="D11" s="56" t="n">
        <v>0.25</v>
      </c>
      <c r="E11" s="56" t="n">
        <v>0.4</v>
      </c>
    </row>
    <row r="12">
      <c r="A12" s="121" t="inlineStr">
        <is>
          <t>Tỷ lệ nợ nhảy nhóm 1 -&gt; nhóm 2 (MB)</t>
        </is>
      </c>
      <c r="B12" s="45" t="inlineStr">
        <is>
          <t>%</t>
        </is>
      </c>
      <c r="C12" s="56" t="n">
        <v>0.018</v>
      </c>
      <c r="D12" s="56" t="n">
        <v>0.035</v>
      </c>
      <c r="E12" s="56" t="n">
        <v>0.06</v>
      </c>
    </row>
    <row r="13">
      <c r="A13" s="121" t="inlineStr">
        <is>
          <t>Tỷ lệ nợ nhảy nhóm 2 -&gt; nợ xấu nhóm 3-5 (MB)</t>
        </is>
      </c>
      <c r="B13" s="45" t="inlineStr">
        <is>
          <t>%</t>
        </is>
      </c>
      <c r="C13" s="56" t="n">
        <v>0.2</v>
      </c>
      <c r="D13" s="56" t="n">
        <v>0.35</v>
      </c>
      <c r="E13" s="56" t="n">
        <v>0.55</v>
      </c>
    </row>
    <row r="14">
      <c r="A14" s="96" t="inlineStr">
        <is>
          <t>Tăng trưởng dư nợ giả định năm 2026: Agribank (= Hệ thống - 4%)</t>
        </is>
      </c>
      <c r="B14" s="96" t="inlineStr">
        <is>
          <t>%</t>
        </is>
      </c>
      <c r="C14" s="97">
        <f>C9-0.04</f>
        <v/>
      </c>
      <c r="D14" s="97">
        <f>D9-0.04</f>
        <v/>
      </c>
      <c r="E14" s="97">
        <f>E9-0.04</f>
        <v/>
      </c>
    </row>
    <row r="15">
      <c r="A15" s="96" t="inlineStr">
        <is>
          <t>Tăng trưởng dư nợ giả định năm 2026: MB (Kịch bản Cơ sở 15%, Tiêu cực 9%, Cực đoan 5%)</t>
        </is>
      </c>
      <c r="B15" s="96" t="inlineStr">
        <is>
          <t>%</t>
        </is>
      </c>
      <c r="C15" s="97" t="n">
        <v>0.15</v>
      </c>
      <c r="D15" s="97">
        <f>D9</f>
        <v/>
      </c>
      <c r="E15" s="97">
        <f>E9</f>
        <v/>
      </c>
    </row>
    <row r="16">
      <c r="A16" s="54" t="inlineStr">
        <is>
          <t>BẢNG 2: KẾT QUẢ STRESS TEST ĐỐI VỚI AGRIBANK (Tỷ đồng)</t>
        </is>
      </c>
      <c r="B16" s="55" t="n"/>
      <c r="C16" s="55" t="n"/>
      <c r="D16" s="55" t="n"/>
      <c r="E16" s="55" t="n"/>
    </row>
    <row r="17">
      <c r="A17" s="42" t="inlineStr">
        <is>
          <t>Chỉ tiêu phân tích</t>
        </is>
      </c>
      <c r="B17" s="42" t="inlineStr">
        <is>
          <t>Năm 2025 (Thực tế)</t>
        </is>
      </c>
      <c r="C17" s="42" t="inlineStr">
        <is>
          <t>Kịch bản Cơ sở (Baseline)</t>
        </is>
      </c>
      <c r="D17" s="42" t="inlineStr">
        <is>
          <t>Kịch bản Tiêu cực (Adverse)</t>
        </is>
      </c>
      <c r="E17" s="42" t="inlineStr">
        <is>
          <t>Kịch bản Cực đoan (Severe)</t>
        </is>
      </c>
    </row>
    <row r="18">
      <c r="A18" s="121" t="inlineStr">
        <is>
          <t>Tổng dư nợ cho vay khách hàng</t>
        </is>
      </c>
      <c r="B18" s="46">
        <f>BCTC_Agribank_Goc!I24</f>
        <v/>
      </c>
      <c r="C18" s="46">
        <f>ROUND($B$18*(1+C14),0)</f>
        <v/>
      </c>
      <c r="D18" s="46">
        <f>ROUND($B$18*(1+D14),0)</f>
        <v/>
      </c>
      <c r="E18" s="46">
        <f>ROUND($B$18*(1+E14),0)</f>
        <v/>
      </c>
    </row>
    <row r="19">
      <c r="A19" s="121" t="inlineStr">
        <is>
          <t>Nợ nhóm 1 (Đủ tiêu chuẩn)</t>
        </is>
      </c>
      <c r="B19" s="46">
        <f>BCTC_Agribank_Goc!I17+BCTC_Agribank_Goc!I23</f>
        <v/>
      </c>
      <c r="C19" s="46">
        <f>C18-C20-C21</f>
        <v/>
      </c>
      <c r="D19" s="46">
        <f>D18-D20-D21</f>
        <v/>
      </c>
      <c r="E19" s="46">
        <f>E18-E20-E21</f>
        <v/>
      </c>
    </row>
    <row r="20">
      <c r="A20" s="121" t="inlineStr">
        <is>
          <t>Nợ nhóm 2 (Cần chú ý) sau stress</t>
        </is>
      </c>
      <c r="B20" s="46">
        <f>BCTC_Agribank_Goc!I18</f>
        <v/>
      </c>
      <c r="C20" s="46">
        <f>ROUND(C18*C10,0)</f>
        <v/>
      </c>
      <c r="D20" s="46">
        <f>ROUND(D18*D10,0)</f>
        <v/>
      </c>
      <c r="E20" s="46">
        <f>ROUND(E18*E10,0)</f>
        <v/>
      </c>
    </row>
    <row r="21">
      <c r="A21" s="121" t="inlineStr">
        <is>
          <t>Nợ xấu nội bảng nhóm 3-5</t>
        </is>
      </c>
      <c r="B21" s="46">
        <f>BCTC_Agribank_Goc!I25</f>
        <v/>
      </c>
      <c r="C21" s="46">
        <f>$B$21+C22</f>
        <v/>
      </c>
      <c r="D21" s="46">
        <f>$B$21+D22</f>
        <v/>
      </c>
      <c r="E21" s="46">
        <f>$B$21+E22</f>
        <v/>
      </c>
    </row>
    <row r="22">
      <c r="A22" s="121" t="inlineStr">
        <is>
          <t xml:space="preserve">  - Trong đó: Nợ xấu phát sinh mới từ nhóm 2 (= Nợ nhóm 2 năm 2025 × tỷ lệ chuyển nhóm)</t>
        </is>
      </c>
      <c r="B22" s="46" t="n">
        <v>0</v>
      </c>
      <c r="C22" s="46">
        <f>ROUND($B$20*C11,0)</f>
        <v/>
      </c>
      <c r="D22" s="46">
        <f>ROUND($B$20*D11,0)</f>
        <v/>
      </c>
      <c r="E22" s="46">
        <f>ROUND($B$20*E11,0)</f>
        <v/>
      </c>
    </row>
    <row r="23">
      <c r="A23" s="50" t="inlineStr">
        <is>
          <t>Tỷ lệ nợ xấu (NPL stress)</t>
        </is>
      </c>
      <c r="B23" s="58">
        <f>B21/B18</f>
        <v/>
      </c>
      <c r="C23" s="58">
        <f>C21/C18</f>
        <v/>
      </c>
      <c r="D23" s="58">
        <f>D21/D18</f>
        <v/>
      </c>
      <c r="E23" s="58">
        <f>E21/E18</f>
        <v/>
      </c>
    </row>
    <row r="24">
      <c r="A24" s="121" t="inlineStr">
        <is>
          <t>Quỹ dự phòng rủi ro tín dụng hiện có</t>
        </is>
      </c>
      <c r="B24" s="46">
        <f>BCTC_Agribank_Goc!I33</f>
        <v/>
      </c>
      <c r="C24" s="46">
        <f>B24</f>
        <v/>
      </c>
      <c r="D24" s="46">
        <f>B24</f>
        <v/>
      </c>
      <c r="E24" s="46">
        <f>B24</f>
        <v/>
      </c>
    </row>
    <row r="25">
      <c r="A25" s="121" t="inlineStr">
        <is>
          <t>Nhu cầu trích lập chi phí dự phòng bổ sung</t>
        </is>
      </c>
      <c r="B25" s="46" t="n">
        <v>0</v>
      </c>
      <c r="C25" s="46">
        <f>ROUND(C22*1 + (C20-$B$20)*0.4685, 0)</f>
        <v/>
      </c>
      <c r="D25" s="46">
        <f>ROUND(D22*1 + (D20-$B$20)*0.3 + $B$21*(-D8)*0.659, 0)</f>
        <v/>
      </c>
      <c r="E25" s="46">
        <f>ROUND(E22*1 + (E20-$B$20)*0.2 + $B$21*(-E8)*0.98, 0)</f>
        <v/>
      </c>
    </row>
    <row r="26">
      <c r="A26" s="121" t="inlineStr">
        <is>
          <t>Tỷ lệ bao phủ nợ xấu (LLCR stress)</t>
        </is>
      </c>
      <c r="B26" s="56">
        <f>B24/B21</f>
        <v/>
      </c>
      <c r="C26" s="56">
        <f>(C24+C25*0.35)/C21</f>
        <v/>
      </c>
      <c r="D26" s="56">
        <f>(D24+D25*0.35)/D21</f>
        <v/>
      </c>
      <c r="E26" s="56">
        <f>(E24+E25*0.35)/E21</f>
        <v/>
      </c>
    </row>
    <row r="27">
      <c r="A27" s="50" t="inlineStr">
        <is>
          <t>Lợi nhuận trước thuế sau stress</t>
        </is>
      </c>
      <c r="B27" s="46">
        <f>BCTC_Agribank_Goc!I47</f>
        <v/>
      </c>
      <c r="C27" s="46">
        <f>ROUND($B$27*(1+C6*0.657), 0)</f>
        <v/>
      </c>
      <c r="D27" s="46">
        <f>ROUND($C$27 - (D25-$C$25)*1.39, 0)</f>
        <v/>
      </c>
      <c r="E27" s="46">
        <f>ROUND($C$27 - (E25-$C$25)*1.333, 0)</f>
        <v/>
      </c>
    </row>
    <row r="28">
      <c r="A28" s="121" t="inlineStr">
        <is>
          <t xml:space="preserve">  - Tỷ lệ suy giảm LNTT so kịch bản cơ sở</t>
        </is>
      </c>
      <c r="B28" s="56" t="n">
        <v>0</v>
      </c>
      <c r="C28" s="56" t="n">
        <v>0</v>
      </c>
      <c r="D28" s="56">
        <f>(D27-$C$27)/$C$27</f>
        <v/>
      </c>
      <c r="E28" s="56">
        <f>(E27-$C$27)/$C$27</f>
        <v/>
      </c>
    </row>
    <row r="29">
      <c r="A29" s="121" t="inlineStr">
        <is>
          <t>Vốn tự có (Tier 1 + Tier 2)</t>
        </is>
      </c>
      <c r="B29" s="46">
        <f>ROUND(B30*BCTC_Agribank_Goc!I58, 0)</f>
        <v/>
      </c>
      <c r="C29" s="46">
        <f>ROUND($B$29 + C27*0.8*0.5, 0)</f>
        <v/>
      </c>
      <c r="D29" s="46">
        <f>ROUND($B$29 + D27*0.8*0.5 - (D25-$C$25)*1.72, 0)</f>
        <v/>
      </c>
      <c r="E29" s="46">
        <f>ROUND($B$29 + E27*0.8*0.5 - (E25-$C$25)*1.625, 0)</f>
        <v/>
      </c>
    </row>
    <row r="30">
      <c r="A30" s="121" t="inlineStr">
        <is>
          <t>Tổng tài sản có rủi ro (RWA)</t>
        </is>
      </c>
      <c r="B30" s="46">
        <f>ROUND(B18*1.00184, 0)</f>
        <v/>
      </c>
      <c r="C30" s="46">
        <f>ROUND(C18*1.00184, 0)</f>
        <v/>
      </c>
      <c r="D30" s="46">
        <f>ROUND(D18*1.01, 0)</f>
        <v/>
      </c>
      <c r="E30" s="46">
        <f>ROUND(E18*1.02, 0)</f>
        <v/>
      </c>
    </row>
    <row r="31">
      <c r="A31" s="50" t="inlineStr">
        <is>
          <t>Tỷ lệ an toàn vốn (CAR stress theo TT 41)</t>
        </is>
      </c>
      <c r="B31" s="58">
        <f>BCTC_Agribank_Goc!I58</f>
        <v/>
      </c>
      <c r="C31" s="58">
        <f>C29/C30</f>
        <v/>
      </c>
      <c r="D31" s="58">
        <f>D29/D30</f>
        <v/>
      </c>
      <c r="E31" s="58">
        <f>E29/E30</f>
        <v/>
      </c>
    </row>
    <row r="32">
      <c r="A32" s="121" t="inlineStr">
        <is>
          <t>Thặng dư / (Thâm hụt) vốn so với ngưỡng 8,0%</t>
        </is>
      </c>
      <c r="B32" s="94">
        <f>B31-0.08</f>
        <v/>
      </c>
      <c r="C32" s="94">
        <f>C31-0.08</f>
        <v/>
      </c>
      <c r="D32" s="94">
        <f>D31-0.08</f>
        <v/>
      </c>
      <c r="E32" s="95">
        <f>E31-0.08</f>
        <v/>
      </c>
    </row>
    <row r="35">
      <c r="A35" s="54" t="inlineStr">
        <is>
          <t>BẢNG 3: KẾT QUẢ STRESS TEST ĐỐI VỚI MB (HỢP NHẤT) (Tỷ đồng)</t>
        </is>
      </c>
      <c r="B35" s="55" t="n"/>
      <c r="C35" s="55" t="n"/>
      <c r="D35" s="55" t="n"/>
      <c r="E35" s="55" t="n"/>
    </row>
    <row r="36">
      <c r="A36" s="42" t="inlineStr">
        <is>
          <t>Chỉ tiêu phân tích</t>
        </is>
      </c>
      <c r="B36" s="42" t="inlineStr">
        <is>
          <t>Năm 2025 (Thực tế)</t>
        </is>
      </c>
      <c r="C36" s="42" t="inlineStr">
        <is>
          <t>Kịch bản Cơ sở (Baseline)</t>
        </is>
      </c>
      <c r="D36" s="42" t="inlineStr">
        <is>
          <t>Kịch bản Tiêu cực (Adverse)</t>
        </is>
      </c>
      <c r="E36" s="42" t="inlineStr">
        <is>
          <t>Kịch bản Cực đoan (Severe)</t>
        </is>
      </c>
    </row>
    <row r="37">
      <c r="A37" s="121" t="inlineStr">
        <is>
          <t>Tổng dư nợ cho vay khách hàng</t>
        </is>
      </c>
      <c r="B37" s="46">
        <f>BCTC_MB_Goc!I22</f>
        <v/>
      </c>
      <c r="C37" s="46">
        <f>ROUND($B$37*(1+C15),0)</f>
        <v/>
      </c>
      <c r="D37" s="46">
        <f>ROUND($B$37*(1+D15),0)</f>
        <v/>
      </c>
      <c r="E37" s="46">
        <f>ROUND($B$37*(1+E15),0)</f>
        <v/>
      </c>
    </row>
    <row r="38">
      <c r="A38" s="121" t="inlineStr">
        <is>
          <t>Nợ nhóm 1 (Đủ tiêu chuẩn)</t>
        </is>
      </c>
      <c r="B38" s="46">
        <f>BCTC_MB_Goc!I17</f>
        <v/>
      </c>
      <c r="C38" s="46">
        <f>C37-C39-C40</f>
        <v/>
      </c>
      <c r="D38" s="46">
        <f>D37-D39-D40</f>
        <v/>
      </c>
      <c r="E38" s="46">
        <f>E37-E39-E40</f>
        <v/>
      </c>
    </row>
    <row r="39">
      <c r="A39" s="121" t="inlineStr">
        <is>
          <t>Nợ nhóm 2 (Cần chú ý) sau stress</t>
        </is>
      </c>
      <c r="B39" s="46">
        <f>BCTC_MB_Goc!I18</f>
        <v/>
      </c>
      <c r="C39" s="46">
        <f>ROUND(C37*C12,0)</f>
        <v/>
      </c>
      <c r="D39" s="46">
        <f>ROUND(D37*D12,0)</f>
        <v/>
      </c>
      <c r="E39" s="46">
        <f>ROUND(E37*E12,0)</f>
        <v/>
      </c>
    </row>
    <row r="40">
      <c r="A40" s="121" t="inlineStr">
        <is>
          <t>Nợ xấu nội bảng nhóm 3-5</t>
        </is>
      </c>
      <c r="B40" s="46">
        <f>BCTC_MB_Goc!I23</f>
        <v/>
      </c>
      <c r="C40" s="46">
        <f>$B$40+C41</f>
        <v/>
      </c>
      <c r="D40" s="46">
        <f>$B$40+D41</f>
        <v/>
      </c>
      <c r="E40" s="46">
        <f>$B$40+E41</f>
        <v/>
      </c>
    </row>
    <row r="41">
      <c r="A41" s="121" t="inlineStr">
        <is>
          <t xml:space="preserve">  - Trong đó: Nợ xấu phát sinh mới từ nhóm 2 (= Nợ nhóm 2 năm 2025 × tỷ lệ chuyển nhóm)</t>
        </is>
      </c>
      <c r="B41" s="46" t="n">
        <v>0</v>
      </c>
      <c r="C41" s="46">
        <f>ROUND($B$39*C13,0)</f>
        <v/>
      </c>
      <c r="D41" s="46">
        <f>ROUND($B$39*D13,0)</f>
        <v/>
      </c>
      <c r="E41" s="46">
        <f>ROUND($B$39*E13,0)</f>
        <v/>
      </c>
    </row>
    <row r="42">
      <c r="A42" s="50" t="inlineStr">
        <is>
          <t>Tỷ lệ nợ xấu (NPL stress)</t>
        </is>
      </c>
      <c r="B42" s="58">
        <f>B40/B37</f>
        <v/>
      </c>
      <c r="C42" s="58">
        <f>C40/C37</f>
        <v/>
      </c>
      <c r="D42" s="58">
        <f>D40/D37</f>
        <v/>
      </c>
      <c r="E42" s="58">
        <f>E40/E37</f>
        <v/>
      </c>
    </row>
    <row r="43">
      <c r="A43" s="121" t="inlineStr">
        <is>
          <t>Quỹ dự phòng rủi ro tín dụng hiện có</t>
        </is>
      </c>
      <c r="B43" s="46">
        <f>BCTC_MB_Goc!I33</f>
        <v/>
      </c>
      <c r="C43" s="46">
        <f>B43</f>
        <v/>
      </c>
      <c r="D43" s="46">
        <f>B43</f>
        <v/>
      </c>
      <c r="E43" s="46">
        <f>B43</f>
        <v/>
      </c>
    </row>
    <row r="44">
      <c r="A44" s="121" t="inlineStr">
        <is>
          <t>Nhu cầu trích lập chi phí dự phòng bổ sung</t>
        </is>
      </c>
      <c r="B44" s="46" t="n">
        <v>0</v>
      </c>
      <c r="C44" s="46">
        <f>ROUND(C41*1 + (C39-$B$39)*0.2585, 0)</f>
        <v/>
      </c>
      <c r="D44" s="46">
        <f>ROUND(D41*1 + (D39-$B$39)*0.296, 0)</f>
        <v/>
      </c>
      <c r="E44" s="46">
        <f>ROUND(E41*1 + (E39-$B$39)*0.289, 0)</f>
        <v/>
      </c>
    </row>
    <row r="45">
      <c r="A45" s="121" t="inlineStr">
        <is>
          <t>Tỷ lệ bao phủ nợ xấu (LLCR stress)</t>
        </is>
      </c>
      <c r="B45" s="56">
        <f>B43/B40</f>
        <v/>
      </c>
      <c r="C45" s="56">
        <f>(C43+C44*0.45)/C40</f>
        <v/>
      </c>
      <c r="D45" s="56">
        <f>(D43+D44*0.45)/D40</f>
        <v/>
      </c>
      <c r="E45" s="56">
        <f>(E43+E44*0.45)/E40</f>
        <v/>
      </c>
    </row>
    <row r="46">
      <c r="A46" s="50" t="inlineStr">
        <is>
          <t>Lợi nhuận trước thuế sau stress</t>
        </is>
      </c>
      <c r="B46" s="46">
        <f>BCTC_MB_Goc!I47</f>
        <v/>
      </c>
      <c r="C46" s="46">
        <f>ROUND($B$46*(1+C6*1.9), 0)</f>
        <v/>
      </c>
      <c r="D46" s="46">
        <f>ROUND($C$46 - (D44-$C$44)*1.96, 0)</f>
        <v/>
      </c>
      <c r="E46" s="46">
        <f>ROUND($C$46 - (E44-$C$44)*1.552, 0)</f>
        <v/>
      </c>
    </row>
    <row r="47">
      <c r="A47" s="121" t="inlineStr">
        <is>
          <t xml:space="preserve">  - Tỷ lệ suy giảm LNTT so kịch bản cơ sở</t>
        </is>
      </c>
      <c r="B47" s="56" t="n">
        <v>0</v>
      </c>
      <c r="C47" s="56" t="n">
        <v>0</v>
      </c>
      <c r="D47" s="56">
        <f>(D46-$C$46)/$C$46</f>
        <v/>
      </c>
      <c r="E47" s="56">
        <f>(E46-$C$46)/$C$46</f>
        <v/>
      </c>
    </row>
    <row r="48">
      <c r="A48" s="121" t="inlineStr">
        <is>
          <t>Vốn tự có (Tier 1 + Tier 2)</t>
        </is>
      </c>
      <c r="B48" s="46">
        <f>ROUND(B49*BCTC_MB_Goc!I62, 0)</f>
        <v/>
      </c>
      <c r="C48" s="46">
        <f>ROUND($B$48 + C46*0.8*0.454, 0)</f>
        <v/>
      </c>
      <c r="D48" s="46">
        <f>ROUND($B$48 + D46*0.8*0.454 - (D44-$C$44)*0.645, 0)</f>
        <v/>
      </c>
      <c r="E48" s="46">
        <f>ROUND($B$48 + E46*0.8*0.454 - (E44-$C$44)*0.645, 0)</f>
        <v/>
      </c>
    </row>
    <row r="49">
      <c r="A49" s="121" t="inlineStr">
        <is>
          <t>Tổng tài sản có rủi ro (RWA)</t>
        </is>
      </c>
      <c r="B49" s="46">
        <f>ROUND(B37*0.9225, 0)</f>
        <v/>
      </c>
      <c r="C49" s="46">
        <f>ROUND(C37*0.9225, 0)</f>
        <v/>
      </c>
      <c r="D49" s="46">
        <f>ROUND(D37*0.9315, 0)</f>
        <v/>
      </c>
      <c r="E49" s="46">
        <f>ROUND(E37*0.9315, 0)</f>
        <v/>
      </c>
    </row>
    <row r="50">
      <c r="A50" s="50" t="inlineStr">
        <is>
          <t>Tỷ lệ an toàn vốn (CAR stress theo TT 41)</t>
        </is>
      </c>
      <c r="B50" s="58">
        <f>BCTC_MB_Goc!I62</f>
        <v/>
      </c>
      <c r="C50" s="58">
        <f>C48/C49</f>
        <v/>
      </c>
      <c r="D50" s="58">
        <f>D48/D49</f>
        <v/>
      </c>
      <c r="E50" s="58">
        <f>E48/E49</f>
        <v/>
      </c>
    </row>
    <row r="51">
      <c r="A51" s="121" t="inlineStr">
        <is>
          <t>Thặng dư / (Thâm hụt) vốn so với ngưỡng 8,0%</t>
        </is>
      </c>
      <c r="B51" s="94">
        <f>B50-0.08</f>
        <v/>
      </c>
      <c r="C51" s="94">
        <f>C50-0.08</f>
        <v/>
      </c>
      <c r="D51" s="94">
        <f>D50-0.08</f>
        <v/>
      </c>
      <c r="E51" s="94">
        <f>E50-0.08</f>
        <v/>
      </c>
    </row>
    <row r="53">
      <c r="A53" s="54" t="inlineStr">
        <is>
          <t>BẢNG 4: KẾT LUẬN HỌC THUẬT VỀ ĐỘ NHẠY CỦA HAI MÔ HÌNH QUẢN TRỊ RỦI RO</t>
        </is>
      </c>
      <c r="B53" s="55" t="n"/>
      <c r="C53" s="55" t="n"/>
      <c r="D53" s="55" t="n"/>
      <c r="E53" s="55" t="n"/>
    </row>
    <row r="54">
      <c r="A54" s="50" t="inlineStr">
        <is>
          <t>1. Tính dễ bị tổn thương về vốn (Capital Vulnerability):</t>
        </is>
      </c>
      <c r="B54" s="121" t="inlineStr">
        <is>
          <t>Agribank xuất phát điểm CAR đạt 10,22% năm 2025 (BCTN 2025), nhưng do áp lực tăng RWA và trích lập bổ sung 26.500 tỷ đồng ở kịch bản Cực đoan, CAR lùi về 8,67% (thặng dư vốn chỉ còn +0,67% so với ngưỡng 8,0%).</t>
        </is>
      </c>
      <c r="C54" s="122" t="n"/>
      <c r="D54" s="122" t="n"/>
      <c r="E54" s="123" t="n"/>
    </row>
    <row r="55">
      <c r="A55" s="50" t="inlineStr">
        <is>
          <t>2. Độ nhạy cảm lợi nhuận và danh mục rủi ro cao (Profit &amp; Credit Sensitivity):</t>
        </is>
      </c>
      <c r="B55" s="121" t="inlineStr">
        <is>
          <t>MB chịu áp lực trích lập dự phòng bổ sung lớn hơn rất nhiều (lên tới 22.400 tỷ đồng ở kịch bản Cực đoan, bào mòn gần 70% LNTT) do tỷ trọng BĐS, TPDN và vay tín chấp tiêu dùng MCredit có độ nhạy rất cao với lãi suất.</t>
        </is>
      </c>
      <c r="C55" s="122" t="n"/>
      <c r="D55" s="122" t="n"/>
      <c r="E55" s="123" t="n"/>
    </row>
    <row r="56">
      <c r="A56" s="50" t="inlineStr">
        <is>
          <t>3. Hàm ý đối với quản trị rủi ro cấp ngân hàng:</t>
        </is>
      </c>
      <c r="B56" s="121" t="inlineStr">
        <is>
          <t>Agribank cần tối ưu hóa RWA và giữ lại lợi nhuận để tăng vốn Tier 1; MB cần siết chặt hạn mức tập trung danh mục BĐS và áp dụng chính sách định giá bù đắp rủi ro tín chấp.</t>
        </is>
      </c>
      <c r="C56" s="122" t="n"/>
      <c r="D56" s="122" t="n"/>
      <c r="E56" s="123" t="n"/>
    </row>
    <row r="58" ht="15" customHeight="1">
      <c r="A58" s="50" t="inlineStr">
        <is>
          <t>4. Hạn chế mô hình (soát xét 28/10/2026):</t>
        </is>
      </c>
    </row>
    <row r="59" ht="30" customHeight="1">
      <c r="A59" s="121" t="inlineStr">
        <is>
          <t>(a) Các hệ số truyền dẫn cố định trong công thức (0,4685; 0,659; 0,98 – dự phòng; 0,657; 1,39; 1,333; 1,90; 1,96; 1,552 – LNTT; 1,72; 1,625; 0,645 – vốn tự có) là hệ số hiệu chỉnh do nhóm đặt, chưa được ước lượng thống kê.</t>
        </is>
      </c>
    </row>
    <row r="60" ht="30" customHeight="1">
      <c r="A60" s="121" t="inlineStr">
        <is>
          <t>(b) Chi phí dự phòng tăng thêm vừa làm giảm LNTT (qua lợi nhuận giữ lại) vừa bị khấu trừ trực tiếp vào vốn tự có (dòng 29, 48) → mức giảm CAR ở kịch bản tiêu cực/cực đoan có xu hướng bị ước tính cao (thận trọng).</t>
        </is>
      </c>
    </row>
    <row r="61" ht="30" customHeight="1">
      <c r="A61" s="121" t="inlineStr">
        <is>
          <t>(c) Kênh giảm giá BĐS (dòng 8) chỉ đi vào nhu cầu dự phòng của Agribank (dòng 25); công thức MB (dòng 44) chưa có kênh này. Kết quả dùng để so sánh độ nhạy tương đối, không phải dự báo.</t>
        </is>
      </c>
    </row>
  </sheetData>
  <mergeCells count="3">
    <mergeCell ref="B56:E56"/>
    <mergeCell ref="B55:E55"/>
    <mergeCell ref="B54:E5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topLeftCell="A39" workbookViewId="0">
      <selection activeCell="A1" sqref="A1"/>
    </sheetView>
  </sheetViews>
  <sheetFormatPr baseColWidth="8" defaultRowHeight="15"/>
  <cols>
    <col width="46" customWidth="1" min="1" max="1"/>
    <col width="22" customWidth="1" min="2" max="2"/>
    <col width="24" customWidth="1" min="3" max="3"/>
    <col width="22" customWidth="1" min="4" max="4"/>
    <col width="24" customWidth="1" min="5" max="5"/>
    <col width="30" customWidth="1" min="6" max="6"/>
  </cols>
  <sheetData>
    <row r="1" ht="18.75" customHeight="1">
      <c r="A1" s="52" t="inlineStr">
        <is>
          <t>MÔ PHỎNG TÁC ĐỘNG CHUYỂN ĐỔI CHUẨN MỰC IFRS 9 (EXPECTED CREDIT LOSS - ECL)</t>
        </is>
      </c>
    </row>
    <row r="2">
      <c r="A2" s="53" t="inlineStr">
        <is>
          <t>Ước tính khoảng cách dự phòng (Provisioning Gap) giữa VAS (Thông tư 11/2021) và Chuẩn mực Quốc tế IFRS 9</t>
        </is>
      </c>
    </row>
    <row r="4">
      <c r="A4" s="54" t="inlineStr">
        <is>
          <t>BẢNG 1: SO SÁNH PHƯƠNG PHÁP TRÍCH LẬP DỰ PHÒNG: VAS (TT 11) VS IFRS 9</t>
        </is>
      </c>
      <c r="B4" s="55" t="n"/>
      <c r="C4" s="55" t="n"/>
      <c r="D4" s="55" t="n"/>
      <c r="E4" s="55" t="n"/>
      <c r="F4" s="55" t="n"/>
    </row>
    <row r="5">
      <c r="A5" s="42" t="inlineStr">
        <is>
          <t>Giai đoạn tín dụng</t>
        </is>
      </c>
      <c r="B5" s="42" t="inlineStr">
        <is>
          <t>VAS / Thông tư 11/2021 (Incurred Loss)</t>
        </is>
      </c>
      <c r="C5" s="42" t="inlineStr">
        <is>
          <t>IFRS 9 Framework</t>
        </is>
      </c>
      <c r="D5" s="42" t="inlineStr">
        <is>
          <t>Công thức tính ECL</t>
        </is>
      </c>
      <c r="E5" s="42" t="inlineStr">
        <is>
          <t>Agribank Giả định (PD / LGD)</t>
        </is>
      </c>
      <c r="F5" s="42" t="inlineStr">
        <is>
          <t>MB Giả định (PD / LGD)</t>
        </is>
      </c>
    </row>
    <row r="6">
      <c r="A6" s="50" t="inlineStr">
        <is>
          <t>Stage 1 (Performing)</t>
        </is>
      </c>
      <c r="B6" s="121" t="inlineStr">
        <is>
          <t>Nợ nhóm 1 (DP chung 0,75%)</t>
        </is>
      </c>
      <c r="C6" s="121" t="inlineStr">
        <is>
          <t>Không có SICR</t>
        </is>
      </c>
      <c r="D6" s="45" t="inlineStr">
        <is>
          <t>EAD x PD(12m) x LGD</t>
        </is>
      </c>
      <c r="E6" s="45" t="inlineStr">
        <is>
          <t>PD=1,2% | LGD=35%</t>
        </is>
      </c>
      <c r="F6" s="45" t="inlineStr">
        <is>
          <t>PD=1,5% | LGD=45%</t>
        </is>
      </c>
    </row>
    <row r="7">
      <c r="A7" s="50" t="inlineStr">
        <is>
          <t>Stage 2 (Underperforming)</t>
        </is>
      </c>
      <c r="B7" s="121" t="inlineStr">
        <is>
          <t>Nợ nhóm 2 (DP cụ thể 5% sau TSBĐ) + TT 02</t>
        </is>
      </c>
      <c r="C7" s="121" t="inlineStr">
        <is>
          <t>Gia tăng RRTD đáng kể (SICR)</t>
        </is>
      </c>
      <c r="D7" s="45" t="inlineStr">
        <is>
          <t>EAD x PD(Lifetime) x LGD</t>
        </is>
      </c>
      <c r="E7" s="45" t="inlineStr">
        <is>
          <t>PD=22,0% | LGD=45% (SICR: Nhóm 2 + Cơ cấu + 5% Nhóm 1)</t>
        </is>
      </c>
      <c r="F7" s="45" t="inlineStr">
        <is>
          <t>PD=28,0% | LGD=50% (SICR: Nhóm 2 + 6% Nhóm 1 + 30% TPDN)</t>
        </is>
      </c>
    </row>
    <row r="8">
      <c r="A8" s="50" t="inlineStr">
        <is>
          <t>Stage 3 (Credit-impaired)</t>
        </is>
      </c>
      <c r="B8" s="121" t="inlineStr">
        <is>
          <t>Nợ nhóm 3-5 (DP cụ thể 20%, 50%, 100%)</t>
        </is>
      </c>
      <c r="C8" s="121" t="inlineStr">
        <is>
          <t>Nợ xấu / Suy giảm giá trị</t>
        </is>
      </c>
      <c r="D8" s="45" t="inlineStr">
        <is>
          <t>EAD x 100% x LGD</t>
        </is>
      </c>
      <c r="E8" s="45" t="inlineStr">
        <is>
          <t>PD=100% | LGD=85% (Chiết khấu EIR thời gian thu hồi TSBĐ)</t>
        </is>
      </c>
      <c r="F8" s="45" t="inlineStr">
        <is>
          <t>PD=100% | LGD=65% (Chiết khấu dòng tiền &amp; nợ tín chấp)</t>
        </is>
      </c>
    </row>
    <row r="11">
      <c r="A11" s="54" t="inlineStr">
        <is>
          <t>BẢNG 2: KẾT QUẢ ĐỊNH LƯỢNG MÔ PHỎNG IFRS 9 NĂM 2025 (Tỷ đồng)</t>
        </is>
      </c>
      <c r="B11" s="55" t="n"/>
      <c r="C11" s="55" t="n"/>
      <c r="D11" s="55" t="n"/>
      <c r="E11" s="55" t="n"/>
      <c r="F11" s="55" t="n"/>
    </row>
    <row r="12">
      <c r="A12" s="42" t="inlineStr">
        <is>
          <t>Khoản mục phân tích</t>
        </is>
      </c>
      <c r="B12" s="42" t="inlineStr">
        <is>
          <t>Dư nợ EAD Agribank</t>
        </is>
      </c>
      <c r="C12" s="42" t="inlineStr">
        <is>
          <t>ECL ước tính Agribank</t>
        </is>
      </c>
      <c r="D12" s="42" t="inlineStr">
        <is>
          <t>Dư nợ EAD MB</t>
        </is>
      </c>
      <c r="E12" s="42" t="inlineStr">
        <is>
          <t>ECL ước tính MB</t>
        </is>
      </c>
      <c r="F12" s="42" t="inlineStr">
        <is>
          <t>Phương pháp &amp; Ghi chú</t>
        </is>
      </c>
    </row>
    <row r="13">
      <c r="A13" s="121" t="inlineStr">
        <is>
          <t>Stage 1: Nợ đủ tiêu chuẩn (Nhóm 1)</t>
        </is>
      </c>
      <c r="B13" s="46">
        <f>0.95*(BCTC_Agribank_Goc!I17+BCTC_Agribank_Goc!I23)</f>
        <v/>
      </c>
      <c r="C13" s="46">
        <f>B13*0.012*0.35</f>
        <v/>
      </c>
      <c r="D13" s="46">
        <f>0.94*BCTC_MB_Goc!I17</f>
        <v/>
      </c>
      <c r="E13" s="46">
        <f>D13*0.015*0.45</f>
        <v/>
      </c>
      <c r="F13" s="59" t="inlineStr">
        <is>
          <t>EAD x PD(12m) x LGD</t>
        </is>
      </c>
    </row>
    <row r="14">
      <c r="A14" s="121" t="inlineStr">
        <is>
          <t>Stage 2: Nợ có SICR (Nhóm 2 + Nợ cơ cấu)</t>
        </is>
      </c>
      <c r="B14" s="46">
        <f>BCTC_Agribank_Goc!I18+0.05*(BCTC_Agribank_Goc!I17+BCTC_Agribank_Goc!I23)</f>
        <v/>
      </c>
      <c r="C14" s="46">
        <f>B14*0.22*0.45</f>
        <v/>
      </c>
      <c r="D14" s="46">
        <f>BCTC_MB_Goc!I18+0.06*BCTC_MB_Goc!I17+0.3*BCTC_MB_Goc!I52</f>
        <v/>
      </c>
      <c r="E14" s="46">
        <f>D14*0.28*0.5</f>
        <v/>
      </c>
      <c r="F14" s="59" t="inlineStr">
        <is>
          <t>EAD x PD(Lifetime) x LGD</t>
        </is>
      </c>
    </row>
    <row r="15">
      <c r="A15" s="121" t="inlineStr">
        <is>
          <t>Stage 3: Nợ xấu (Nhóm 3–5)</t>
        </is>
      </c>
      <c r="B15" s="46">
        <f>BCTC_Agribank_Goc!I25</f>
        <v/>
      </c>
      <c r="C15" s="46">
        <f>B15*1*0.85</f>
        <v/>
      </c>
      <c r="D15" s="46">
        <f>BCTC_MB_Goc!I23</f>
        <v/>
      </c>
      <c r="E15" s="46">
        <f>D15*1*0.65</f>
        <v/>
      </c>
      <c r="F15" s="59" t="inlineStr">
        <is>
          <t>EAD x 100% x LGD</t>
        </is>
      </c>
    </row>
    <row r="16">
      <c r="A16" s="50" t="inlineStr">
        <is>
          <t>TỔNG DỰ PHÒNG ECL THEO IFRS 9 (A)</t>
        </is>
      </c>
      <c r="B16" s="46">
        <f>SUM(B13:B15)</f>
        <v/>
      </c>
      <c r="C16" s="60">
        <f>SUM(C13:C15)</f>
        <v/>
      </c>
      <c r="D16" s="46">
        <f>SUM(D13:D15)</f>
        <v/>
      </c>
      <c r="E16" s="60">
        <f>SUM(E13:E15)</f>
        <v/>
      </c>
      <c r="F16" s="59" t="inlineStr">
        <is>
          <t>Tổng dự phòng 3 giai đoạn</t>
        </is>
      </c>
    </row>
    <row r="17">
      <c r="A17" s="50" t="inlineStr">
        <is>
          <t>TỔNG DỰ PHÒNG THEO VAS/TT11 HIỆN TẠI (B)</t>
        </is>
      </c>
      <c r="B17" s="46">
        <f>BCTC_Agribank_Goc!I24</f>
        <v/>
      </c>
      <c r="C17" s="60">
        <f>BCTC_Agribank_Goc!I33</f>
        <v/>
      </c>
      <c r="D17" s="46">
        <f>BCTC_MB_Goc!I22</f>
        <v/>
      </c>
      <c r="E17" s="60">
        <f>BCTC_MB_Goc!I33</f>
        <v/>
      </c>
      <c r="F17" s="59" t="inlineStr">
        <is>
          <t>Số dư quỹ dự phòng BCTC 2025</t>
        </is>
      </c>
    </row>
    <row r="18">
      <c r="A18" s="50" t="inlineStr">
        <is>
          <t>CHÊNH LỆCH DỰ PHÒNG CẦN BỔ SUNG (GAP = A - B)</t>
        </is>
      </c>
      <c r="B18" s="61" t="n">
        <v>0</v>
      </c>
      <c r="C18" s="62">
        <f>C16-C17</f>
        <v/>
      </c>
      <c r="D18" s="61" t="n">
        <v>0</v>
      </c>
      <c r="E18" s="62">
        <f>E16-E17</f>
        <v/>
      </c>
      <c r="F18" s="59" t="inlineStr">
        <is>
          <t>Khoảng cách dự phòng trích thiếu</t>
        </is>
      </c>
    </row>
    <row r="19">
      <c r="A19" s="121" t="inlineStr">
        <is>
          <t>Tỷ lệ thiếu hụt so với dự phòng hiện hành (%)</t>
        </is>
      </c>
      <c r="B19" s="56" t="n">
        <v>0</v>
      </c>
      <c r="C19" s="56">
        <f>C18/C17</f>
        <v/>
      </c>
      <c r="D19" s="56" t="n">
        <v>0</v>
      </c>
      <c r="E19" s="56">
        <f>E18/E17</f>
        <v/>
      </c>
      <c r="F19" s="59" t="inlineStr">
        <is>
          <t>Gap / Dự phòng hiện hành</t>
        </is>
      </c>
    </row>
    <row r="20">
      <c r="A20" s="121" t="inlineStr">
        <is>
          <t>Vốn chủ sở hữu hiện hành (Equity 2025)</t>
        </is>
      </c>
      <c r="B20" s="61" t="n">
        <v>0</v>
      </c>
      <c r="C20" s="46">
        <f>BCTC_Agribank_Goc!I13</f>
        <v/>
      </c>
      <c r="D20" s="61" t="n">
        <v>0</v>
      </c>
      <c r="E20" s="46">
        <f>BCTC_MB_Goc!I15</f>
        <v/>
      </c>
      <c r="F20" s="59" t="inlineStr">
        <is>
          <t>Vốn CSH trên BCTC 2025</t>
        </is>
      </c>
    </row>
    <row r="21">
      <c r="A21" s="121" t="inlineStr">
        <is>
          <t>Tác động khấu trừ vào Vốn CSH (sau thuế TNDN 20%)</t>
        </is>
      </c>
      <c r="B21" s="61" t="n">
        <v>0</v>
      </c>
      <c r="C21" s="46">
        <f>-C18*(1-0.2)</f>
        <v/>
      </c>
      <c r="D21" s="61" t="n">
        <v>0</v>
      </c>
      <c r="E21" s="46">
        <f>-E18*(1-0.2)</f>
        <v/>
      </c>
      <c r="F21" s="59" t="inlineStr">
        <is>
          <t>Gap x (1 - 20%)</t>
        </is>
      </c>
    </row>
    <row r="22">
      <c r="A22" s="121" t="inlineStr">
        <is>
          <t>Tỷ lệ suy giảm Vốn chủ sở hữu (%)</t>
        </is>
      </c>
      <c r="B22" s="56" t="n">
        <v>0</v>
      </c>
      <c r="C22" s="56">
        <f>C21/C20</f>
        <v/>
      </c>
      <c r="D22" s="56" t="n">
        <v>0</v>
      </c>
      <c r="E22" s="56">
        <f>E21/E20</f>
        <v/>
      </c>
      <c r="F22" s="59" t="inlineStr">
        <is>
          <t>Khấu trừ / Vốn CSH</t>
        </is>
      </c>
    </row>
    <row r="23">
      <c r="A23" s="50" t="inlineStr">
        <is>
          <t>Tỷ lệ CAR hiện hành theo Thông tư 41 (%)</t>
        </is>
      </c>
      <c r="B23" s="56" t="n">
        <v>0</v>
      </c>
      <c r="C23" s="58">
        <f>BCTC_Agribank_Goc!I58</f>
        <v/>
      </c>
      <c r="D23" s="56" t="n">
        <v>0</v>
      </c>
      <c r="E23" s="58">
        <f>BCTC_MB_Goc!I62</f>
        <v/>
      </c>
      <c r="F23" s="59" t="inlineStr">
        <is>
          <t>CAR công bố / ước tính 2025</t>
        </is>
      </c>
    </row>
    <row r="24">
      <c r="A24" s="50" t="inlineStr">
        <is>
          <t>Tỷ lệ CAR sau khi áp dụng IFRS 9 (%)</t>
        </is>
      </c>
      <c r="B24" s="56" t="n">
        <v>0</v>
      </c>
      <c r="C24" s="63">
        <f>C23+(C21/B17)</f>
        <v/>
      </c>
      <c r="D24" s="56" t="n">
        <v>0</v>
      </c>
      <c r="E24" s="63">
        <f>E23+(E21/D17)</f>
        <v/>
      </c>
      <c r="F24" s="59" t="inlineStr">
        <is>
          <t>CAR sau khấu trừ vốn</t>
        </is>
      </c>
    </row>
    <row r="25">
      <c r="A25" s="50" t="inlineStr">
        <is>
          <t>Mức suy giảm CAR (điểm phần trăm / bps)</t>
        </is>
      </c>
      <c r="B25" s="56" t="n">
        <v>0</v>
      </c>
      <c r="C25" s="58">
        <f>C24-C23</f>
        <v/>
      </c>
      <c r="D25" s="56" t="n">
        <v>0</v>
      </c>
      <c r="E25" s="58">
        <f>E24-E23</f>
        <v/>
      </c>
      <c r="F25" s="59" t="inlineStr">
        <is>
          <t>Chênh lệch điểm % CAR</t>
        </is>
      </c>
    </row>
    <row r="27">
      <c r="A27" s="54" t="inlineStr">
        <is>
          <t>BẢNG 3: PHÂN TÍCH HỌC THUẬT VỀ TÁC ĐỘNG CHUYỂN ĐỔI IFRS 9</t>
        </is>
      </c>
      <c r="B27" s="55" t="n"/>
      <c r="C27" s="55" t="n"/>
      <c r="D27" s="55" t="n"/>
      <c r="E27" s="55" t="n"/>
      <c r="F27" s="55" t="n"/>
    </row>
    <row r="28">
      <c r="A28" s="50" t="inlineStr">
        <is>
          <t>1. Cú sốc trích lập tại Stage 2:</t>
        </is>
      </c>
      <c r="B28" s="121" t="inlineStr">
        <is>
          <t>Dưới chuẩn IFRS 9, khi một khoản nợ bị xếp vào Stage 2 (SICR), ngân hàng phải trích lập dự phòng tổn thất trọn vòng đời (Lifetime ECL). Tại MB, tổng dự phòng ECL lên tới 27.157 tỷ đồng so với 13.151 tỷ đồng hiện trích theo VAS, tạo ra khoảng cách thiếu hụt 14.006 tỷ đồng (+106,5%).</t>
        </is>
      </c>
      <c r="C28" s="122" t="n"/>
      <c r="D28" s="122" t="n"/>
      <c r="E28" s="122" t="n"/>
      <c r="F28" s="123" t="n"/>
    </row>
    <row r="29">
      <c r="A29" s="50" t="inlineStr">
        <is>
          <t>2. Tác động bất đối xứng đến CAR:</t>
        </is>
      </c>
      <c r="B29" s="121" t="inlineStr">
        <is>
          <t>Agribank: LGD 35% (giai đoạn 1) và 45% (giai đoạn 2) nhờ TSBĐ là BĐS, nhưng 85% ở giai đoạn 3 vì thời gian xử lý TSBĐ kéo dài làm giá trị hiện tại của tiền thu hồi giảm. MB: 45%, 50%, 65%. Khoảng cách nhỏ của Agribank chủ yếu do đã giữ dự phòng cụ thể lớn; khoảng cách lớn của MB đến từ giai đoạn 2. CAR sau IFRS 9 dùng dư nợ cho vay thay RWA nên chỉ mang tính minh họa.</t>
        </is>
      </c>
      <c r="C29" s="122" t="n"/>
      <c r="D29" s="122" t="n"/>
      <c r="E29" s="122" t="n"/>
      <c r="F29" s="123" t="n"/>
    </row>
    <row r="30">
      <c r="A30" s="50" t="inlineStr">
        <is>
          <t>3. Hàm ý chiến lược:</t>
        </is>
      </c>
      <c r="B30" s="121" t="inlineStr">
        <is>
          <t>Việc áp dụng IFRS 9 sẽ là phép thử khắc nghiệt đối với chiến lược tăng trưởng nóng của các NHTMCP đa năng; ngân hàng nào có tỷ trọng cho vay tín chấp và TPDN cao sẽ phải đối mặt với áp lực tiêu hao vốn rất lớn.</t>
        </is>
      </c>
      <c r="C30" s="122" t="n"/>
      <c r="D30" s="122" t="n"/>
      <c r="E30" s="122" t="n"/>
      <c r="F30" s="123" t="n"/>
    </row>
    <row r="32">
      <c r="A32" s="98" t="inlineStr">
        <is>
          <t>BẢNG 4: PHÂN TÍCH ĐỘ NHẠY (SENSITIVITY ANALYSIS) KHOẢNG CÁCH DỰ PHÒNG IFRS 9 &amp; TỶ LỆ CAR NĂM 2025</t>
        </is>
      </c>
    </row>
    <row r="33" ht="25.5" customHeight="1">
      <c r="A33" s="99" t="inlineStr">
        <is>
          <t>Kịch bản độ nhạy tham số (SICR Stage 2 &amp; LGD)</t>
        </is>
      </c>
      <c r="B33" s="99" t="inlineStr">
        <is>
          <t>Agribank: Gap Dự phòng (Tỷ)</t>
        </is>
      </c>
      <c r="C33" s="99" t="inlineStr">
        <is>
          <t>Agribank: CAR sau IFRS 9 (%)</t>
        </is>
      </c>
      <c r="D33" s="99" t="inlineStr">
        <is>
          <t>MB: Gap Dự phòng (Tỷ)</t>
        </is>
      </c>
      <c r="E33" s="99" t="inlineStr">
        <is>
          <t>MB: CAR sau IFRS 9 (%)</t>
        </is>
      </c>
      <c r="F33" s="99" t="inlineStr">
        <is>
          <t>Diễn giải tác động độ nhạy</t>
        </is>
      </c>
    </row>
    <row r="34">
      <c r="A34" s="100" t="inlineStr">
        <is>
          <t>1. Kịch bản Cơ sở (Agribank SICR 5%, MB SICR 6%; LGD chuẩn)</t>
        </is>
      </c>
      <c r="B34" s="101">
        <f>C18</f>
        <v/>
      </c>
      <c r="C34" s="102">
        <f>C24</f>
        <v/>
      </c>
      <c r="D34" s="101">
        <f>E18</f>
        <v/>
      </c>
      <c r="E34" s="102">
        <f>E24</f>
        <v/>
      </c>
      <c r="F34" s="103" t="inlineStr">
        <is>
          <t>Kịch bản trung tâm trình bày tại Bảng 2</t>
        </is>
      </c>
    </row>
    <row r="35">
      <c r="A35" s="103" t="inlineStr">
        <is>
          <t>2. Tỷ lệ Nhóm 1 chuyển sang Stage 2 (SICR) thấp (= 3,0%)</t>
        </is>
      </c>
      <c r="B35" s="101">
        <f>(0.97*(BCTC_Agribank_Goc!I17+BCTC_Agribank_Goc!I23)*0.012*0.35 + (BCTC_Agribank_Goc!I18+0.03*(BCTC_Agribank_Goc!I17+BCTC_Agribank_Goc!I23))*0.22*0.45 + B15*0.85) - C17</f>
        <v/>
      </c>
      <c r="C35" s="102">
        <f>C23 - (B35*(1-0.2))/B17</f>
        <v/>
      </c>
      <c r="D35" s="101">
        <f>(0.97*BCTC_MB_Goc!I17*0.015*0.45 + (BCTC_MB_Goc!I18+0.03*BCTC_MB_Goc!I17+0.3*BCTC_MB_Goc!I52)*0.28*0.5 + D15*0.65) - E17</f>
        <v/>
      </c>
      <c r="E35" s="102">
        <f>E23 - (D35*(1-0.2))/D17</f>
        <v/>
      </c>
      <c r="F35" s="103" t="inlineStr">
        <is>
          <t>Khi chất lượng danh mục Nhóm 1 tốt (chỉ 3% bị SICR)</t>
        </is>
      </c>
    </row>
    <row r="36">
      <c r="A36" s="103" t="inlineStr">
        <is>
          <t>3. Tỷ lệ Nhóm 1 chuyển sang Stage 2 (SICR) trung bình (= 6,0%)</t>
        </is>
      </c>
      <c r="B36" s="101">
        <f>(0.94*(BCTC_Agribank_Goc!I17+BCTC_Agribank_Goc!I23)*0.012*0.35 + (BCTC_Agribank_Goc!I18+0.06*(BCTC_Agribank_Goc!I17+BCTC_Agribank_Goc!I23))*0.22*0.45 + B15*0.85) - C17</f>
        <v/>
      </c>
      <c r="C36" s="102">
        <f>C23 - (B36*(1-0.2))/B17</f>
        <v/>
      </c>
      <c r="D36" s="101">
        <f>(0.94*BCTC_MB_Goc!I17*0.015*0.45 + (BCTC_MB_Goc!I18+0.06*BCTC_MB_Goc!I17+0.3*BCTC_MB_Goc!I52)*0.28*0.5 + D15*0.65) - E17</f>
        <v/>
      </c>
      <c r="E36" s="102">
        <f>E23 - (D36*(1-0.2))/D17</f>
        <v/>
      </c>
      <c r="F36" s="103" t="inlineStr">
        <is>
          <t>Khi cả hai ngân hàng có cùng tỷ lệ 6% Nhóm 1 chuyển sang Stage 2</t>
        </is>
      </c>
    </row>
    <row r="37">
      <c r="A37" s="103" t="inlineStr">
        <is>
          <t>4. Tỷ lệ Nhóm 1 chuyển sang Stage 2 (SICR) cao (= 9,0%)</t>
        </is>
      </c>
      <c r="B37" s="101">
        <f>(0.91*(BCTC_Agribank_Goc!I17+BCTC_Agribank_Goc!I23)*0.012*0.35 + (BCTC_Agribank_Goc!I18+0.09*(BCTC_Agribank_Goc!I17+BCTC_Agribank_Goc!I23))*0.22*0.45 + B15*0.85) - C17</f>
        <v/>
      </c>
      <c r="C37" s="102">
        <f>C23 - (B37*(1-0.2))/B17</f>
        <v/>
      </c>
      <c r="D37" s="101">
        <f>(0.91*BCTC_MB_Goc!I17*0.015*0.45 + (BCTC_MB_Goc!I18+0.09*BCTC_MB_Goc!I17+0.3*BCTC_MB_Goc!I52)*0.28*0.5 + D15*0.65) - E17</f>
        <v/>
      </c>
      <c r="E37" s="102">
        <f>E23 - (D37*(1-0.2))/D17</f>
        <v/>
      </c>
      <c r="F37" s="103" t="inlineStr">
        <is>
          <t>Khi suy giảm kinh tế diện rộng làm 9% Nhóm 1 rơi vào Stage 2</t>
        </is>
      </c>
    </row>
    <row r="38">
      <c r="A38" s="103" t="inlineStr">
        <is>
          <t>5. Hệ số tổn thất LGD giảm 10 điểm % ở mọi giai đoạn (LGD -10%)</t>
        </is>
      </c>
      <c r="B38" s="101">
        <f>(B13*0.012*0.25 + B14*0.22*0.35 + B15*0.75) - C17</f>
        <v/>
      </c>
      <c r="C38" s="102">
        <f>C23 - MAX(0,B38)*(1-0.2)/B17</f>
        <v/>
      </c>
      <c r="D38" s="101">
        <f>(D13*0.015*0.35 + D14*0.28*0.4 + D15*0.55) - E17</f>
        <v/>
      </c>
      <c r="E38" s="102">
        <f>E23 - MAX(0,D38)*(1-0.2)/D17</f>
        <v/>
      </c>
      <c r="F38" s="103" t="inlineStr">
        <is>
          <t>Khi thanh khoản phát mại TSBĐ thuận lợi (Agribank dư dự phòng)</t>
        </is>
      </c>
    </row>
    <row r="39">
      <c r="A39" s="103" t="inlineStr">
        <is>
          <t>6. Hệ số tổn thất LGD tăng 10 điểm % ở mọi giai đoạn (LGD +10%)</t>
        </is>
      </c>
      <c r="B39" s="101">
        <f>(B13*0.012*0.45 + B14*0.22*0.55 + B15*0.95) - C17</f>
        <v/>
      </c>
      <c r="C39" s="102">
        <f>C23 - (B39*(1-0.2))/B17</f>
        <v/>
      </c>
      <c r="D39" s="101">
        <f>(D13*0.015*0.55 + D14*0.28*0.6 + D15*0.75) - E17</f>
        <v/>
      </c>
      <c r="E39" s="102">
        <f>E23 - (D39*(1-0.2))/D17</f>
        <v/>
      </c>
      <c r="F39" s="103" t="inlineStr">
        <is>
          <t>Khi thị trường BĐS đóng băng làm LGD tăng thêm 10 điểm %</t>
        </is>
      </c>
    </row>
    <row r="41" ht="15" customHeight="1">
      <c r="A41" s="103" t="inlineStr">
        <is>
          <t>Lưu ý phương pháp (soát xét 28/10/2026):</t>
        </is>
      </c>
    </row>
    <row r="42" ht="30" customHeight="1">
      <c r="A42" s="103" t="inlineStr">
        <is>
          <t>(a) EAD Stage 2 của MB gồm 30% TPDN do TCKT phát hành (0,30 × 23.410 tỷ; ECL ≈ 983 tỷ), trong khi dự phòng VAS so sánh (E17 = 13.151 tỷ) chỉ là dự phòng cho vay khách hàng → Gap 14.006 tỷ gồm cả phần TPDN.</t>
        </is>
      </c>
    </row>
    <row r="43" ht="30" customHeight="1">
      <c r="A43" s="103" t="inlineStr">
        <is>
          <t>(b) CAR sau IFRS 9 (dòng 24, 34–39) = CAR hiện hành − tác động sau thuế / dư nợ cho vay (B17, D17), dùng dư nợ thay cho RWA → mức giảm (bps) mang tính minh họa.</t>
        </is>
      </c>
    </row>
    <row r="44" ht="30" customHeight="1">
      <c r="A44" s="103" t="inlineStr">
        <is>
          <t>(c) Phân bổ dự phòng VAS theo Stage trong Bảng 11 (Word): Stage 1 = dự phòng chung; Stage 2 = 5% × nợ nhóm 2; Stage 3 = dự phòng cụ thể còn lại.</t>
        </is>
      </c>
    </row>
  </sheetData>
  <mergeCells count="3">
    <mergeCell ref="B30:F30"/>
    <mergeCell ref="B29:F29"/>
    <mergeCell ref="B28:F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cols>
    <col width="12" customWidth="1" min="1" max="1"/>
    <col width="52" customWidth="1" min="2" max="2"/>
    <col width="8" customWidth="1" min="3" max="3"/>
    <col width="14" customWidth="1" min="4" max="9"/>
    <col width="58" customWidth="1" min="10" max="10"/>
  </cols>
  <sheetData>
    <row r="1" ht="16.5" customHeight="1">
      <c r="A1" s="73" t="inlineStr">
        <is>
          <t>BẢNG DỮ LIỆU GỐC TRÍCH XUẤT BCTC KIỂM TOÁN &amp; BCTN AGRIBANK (2020–2025)</t>
        </is>
      </c>
    </row>
    <row r="2">
      <c r="A2" s="74" t="inlineStr">
        <is>
          <t>Đơn vị: Tỷ đồng (Quy đổi chính xác từ Triệu VND trên BCTC Kiểm toán). Liên kết tự động sang sheet Du_lieu, Chi_tieu, Stress_Testing, IFRS9_Simulation.</t>
        </is>
      </c>
    </row>
    <row r="4" ht="26.1" customHeight="1">
      <c r="A4" s="75" t="inlineStr">
        <is>
          <t>Mã TM</t>
        </is>
      </c>
      <c r="B4" s="76" t="inlineStr">
        <is>
          <t>Chỉ tiêu Báo cáo Tài chính &amp; Thuyết minh Kiểm toán</t>
        </is>
      </c>
      <c r="C4" s="75" t="inlineStr">
        <is>
          <t>Đơn vị</t>
        </is>
      </c>
      <c r="D4" s="75" t="inlineStr">
        <is>
          <t>2020</t>
        </is>
      </c>
      <c r="E4" s="75" t="inlineStr">
        <is>
          <t>2021</t>
        </is>
      </c>
      <c r="F4" s="75" t="inlineStr">
        <is>
          <t>2022</t>
        </is>
      </c>
      <c r="G4" s="75" t="inlineStr">
        <is>
          <t>2023</t>
        </is>
      </c>
      <c r="H4" s="75" t="inlineStr">
        <is>
          <t>2024</t>
        </is>
      </c>
      <c r="I4" s="75" t="inlineStr">
        <is>
          <t>2025</t>
        </is>
      </c>
      <c r="J4" s="76" t="inlineStr">
        <is>
          <t>Trích dẫn File PDF gốc, Thuyết minh &amp; Trang</t>
        </is>
      </c>
    </row>
    <row r="5" ht="21.95" customHeight="1">
      <c r="A5" s="77" t="inlineStr">
        <is>
          <t>I</t>
        </is>
      </c>
      <c r="B5" s="77" t="inlineStr">
        <is>
          <t>BẢNG CÂN ĐỐI KẾ TOÁN &amp; NGOÀI BẢNG (HỢP NHẤT &amp; RIÊNG LẺ)</t>
        </is>
      </c>
      <c r="C5" s="78" t="n"/>
      <c r="D5" s="78" t="n"/>
      <c r="E5" s="78" t="n"/>
      <c r="F5" s="78" t="n"/>
      <c r="G5" s="78" t="n"/>
      <c r="H5" s="78" t="n"/>
      <c r="I5" s="78" t="n"/>
      <c r="J5" s="78" t="n"/>
    </row>
    <row r="6" ht="20.1" customHeight="1">
      <c r="A6" s="79" t="inlineStr">
        <is>
          <t>B02-HN</t>
        </is>
      </c>
      <c r="B6" s="80" t="inlineStr">
        <is>
          <t>Tổng tài sản (Hợp nhất)</t>
        </is>
      </c>
      <c r="C6" s="79" t="inlineStr">
        <is>
          <t>tỷ</t>
        </is>
      </c>
      <c r="D6" s="81" t="n">
        <v>1568126.913</v>
      </c>
      <c r="E6" s="81" t="n">
        <v>1695932.701</v>
      </c>
      <c r="F6" s="81" t="n">
        <v>1874839.155</v>
      </c>
      <c r="G6" s="81" t="n">
        <v>2044927.375</v>
      </c>
      <c r="H6" s="81" t="n">
        <v>2234854.221</v>
      </c>
      <c r="I6" s="81" t="n">
        <v>2686597.826</v>
      </c>
      <c r="J6" s="82" t="inlineStr">
        <is>
          <t>BCTC HN 2020 (tr.7), 2021 (tr.6), 2023 (tr.20), 2025 (tr.126)</t>
        </is>
      </c>
    </row>
    <row r="7" ht="20.1" customHeight="1">
      <c r="A7" s="83" t="inlineStr">
        <is>
          <t>B02-RL</t>
        </is>
      </c>
      <c r="B7" s="84" t="inlineStr">
        <is>
          <t>Tổng tài sản (Riêng lẻ - Ngân hàng mẹ)</t>
        </is>
      </c>
      <c r="C7" s="83" t="inlineStr">
        <is>
          <t>tỷ</t>
        </is>
      </c>
      <c r="D7" s="85" t="n">
        <v>1566966.881</v>
      </c>
      <c r="E7" s="85" t="n">
        <v>1694231.522</v>
      </c>
      <c r="F7" s="85" t="n">
        <v>1873684.569</v>
      </c>
      <c r="G7" s="85" t="n">
        <v>2042976.182</v>
      </c>
      <c r="H7" s="85" t="n">
        <v>2231961.608</v>
      </c>
      <c r="I7" s="85" t="n">
        <v>2682737.813</v>
      </c>
      <c r="J7" s="86" t="inlineStr">
        <is>
          <t>BCTC Riêng 2021 (tr.6), 2023 (tr.132), 2025 (tr.6)</t>
        </is>
      </c>
    </row>
    <row r="8" ht="20.1" customHeight="1">
      <c r="A8" s="79" t="inlineStr">
        <is>
          <t>TM 9/10</t>
        </is>
      </c>
      <c r="B8" s="80" t="inlineStr">
        <is>
          <t>Cho vay khách hàng gộp (Hợp nhất)</t>
        </is>
      </c>
      <c r="C8" s="79" t="inlineStr">
        <is>
          <t>tỷ</t>
        </is>
      </c>
      <c r="D8" s="81">
        <f>D24</f>
        <v/>
      </c>
      <c r="E8" s="81">
        <f>E24</f>
        <v/>
      </c>
      <c r="F8" s="81">
        <f>F24</f>
        <v/>
      </c>
      <c r="G8" s="81">
        <f>G24</f>
        <v/>
      </c>
      <c r="H8" s="81">
        <f>H24</f>
        <v/>
      </c>
      <c r="I8" s="81">
        <f>I24</f>
        <v/>
      </c>
      <c r="J8" s="82" t="inlineStr">
        <is>
          <t>TM 9 BCTC HN 2020 (tr.35), TM 10 2021 (tr.45), TM 9 2023 (tr.61), TM 9 2025 (tr.170)</t>
        </is>
      </c>
    </row>
    <row r="9" ht="20.1" customHeight="1">
      <c r="A9" s="83" t="inlineStr">
        <is>
          <t>TM 9/10</t>
        </is>
      </c>
      <c r="B9" s="84" t="inlineStr">
        <is>
          <t>Cho vay khách hàng gộp (Riêng lẻ - Ngân hàng mẹ)</t>
        </is>
      </c>
      <c r="C9" s="83" t="inlineStr">
        <is>
          <t>tỷ</t>
        </is>
      </c>
      <c r="D9" s="87">
        <f>D22</f>
        <v/>
      </c>
      <c r="E9" s="87">
        <f>E22</f>
        <v/>
      </c>
      <c r="F9" s="87">
        <f>F22</f>
        <v/>
      </c>
      <c r="G9" s="87">
        <f>G22</f>
        <v/>
      </c>
      <c r="H9" s="87">
        <f>H22</f>
        <v/>
      </c>
      <c r="I9" s="87">
        <f>I22</f>
        <v/>
      </c>
      <c r="J9" s="86" t="inlineStr">
        <is>
          <t>TM 10 BCTC Riêng 2021 (tr.38), TM 9 2023 (tr.166), TM 9 2025 (tr.72)</t>
        </is>
      </c>
    </row>
    <row r="10" ht="20.1" customHeight="1">
      <c r="A10" s="79" t="inlineStr">
        <is>
          <t>TM 10/11</t>
        </is>
      </c>
      <c r="B10" s="80" t="inlineStr">
        <is>
          <t>Dự phòng rủi ro cho vay khách hàng (Hợp nhất)</t>
        </is>
      </c>
      <c r="C10" s="79" t="inlineStr">
        <is>
          <t>tỷ</t>
        </is>
      </c>
      <c r="D10" s="81">
        <f>D33</f>
        <v/>
      </c>
      <c r="E10" s="81">
        <f>E33</f>
        <v/>
      </c>
      <c r="F10" s="81">
        <f>F33</f>
        <v/>
      </c>
      <c r="G10" s="81">
        <f>G33</f>
        <v/>
      </c>
      <c r="H10" s="81">
        <f>H33</f>
        <v/>
      </c>
      <c r="I10" s="81">
        <f>I33</f>
        <v/>
      </c>
      <c r="J10" s="82" t="inlineStr">
        <is>
          <t>TM 10 BCTC HN 2020 (tr.37), TM 11 2021 (tr.48), TM 10 2023 (tr.64), TM 10 2025 (tr.172)</t>
        </is>
      </c>
    </row>
    <row r="11" ht="20.1" customHeight="1">
      <c r="A11" s="83" t="inlineStr">
        <is>
          <t>TM 10/11</t>
        </is>
      </c>
      <c r="B11" s="84" t="inlineStr">
        <is>
          <t>Dự phòng rủi ro cho vay khách hàng (Riêng lẻ)</t>
        </is>
      </c>
      <c r="C11" s="83" t="inlineStr">
        <is>
          <t>tỷ</t>
        </is>
      </c>
      <c r="D11" s="85" t="n">
        <v>23877.048</v>
      </c>
      <c r="E11" s="85" t="n">
        <v>34023.924</v>
      </c>
      <c r="F11" s="85" t="n">
        <v>36276.157</v>
      </c>
      <c r="G11" s="85" t="n">
        <v>37487.862</v>
      </c>
      <c r="H11" s="85" t="n">
        <v>37770.426</v>
      </c>
      <c r="I11" s="85" t="n">
        <v>36976.803</v>
      </c>
      <c r="J11" s="86" t="inlineStr">
        <is>
          <t>TM 11 BCTC Riêng 2021 (tr.41), TM 10 2023 (tr.169), TM 10 2025 (tr.74)</t>
        </is>
      </c>
    </row>
    <row r="12" ht="20.1" customHeight="1">
      <c r="A12" s="83" t="inlineStr">
        <is>
          <t>TM 18/19</t>
        </is>
      </c>
      <c r="B12" s="84" t="inlineStr">
        <is>
          <t>Tiền gửi của khách hàng (Hợp nhất)</t>
        </is>
      </c>
      <c r="C12" s="83" t="inlineStr">
        <is>
          <t>tỷ</t>
        </is>
      </c>
      <c r="D12" s="85" t="n">
        <v>1404875.777</v>
      </c>
      <c r="E12" s="85" t="n">
        <v>1542504.377</v>
      </c>
      <c r="F12" s="85" t="n">
        <v>1623935.082</v>
      </c>
      <c r="G12" s="85" t="n">
        <v>1817271.03</v>
      </c>
      <c r="H12" s="85" t="n">
        <v>1914664.361</v>
      </c>
      <c r="I12" s="85" t="n">
        <v>2156382.679</v>
      </c>
      <c r="J12" s="86" t="inlineStr">
        <is>
          <t>B02/TCTD-HN 2020-2025</t>
        </is>
      </c>
    </row>
    <row r="13" ht="20.1" customHeight="1">
      <c r="A13" s="79" t="inlineStr">
        <is>
          <t>TM 23/24</t>
        </is>
      </c>
      <c r="B13" s="80" t="inlineStr">
        <is>
          <t>Tổng Vốn chủ sở hữu (Hợp nhất)</t>
        </is>
      </c>
      <c r="C13" s="79" t="inlineStr">
        <is>
          <t>tỷ</t>
        </is>
      </c>
      <c r="D13" s="81" t="n">
        <v>73084.295</v>
      </c>
      <c r="E13" s="81" t="n">
        <v>76087.34</v>
      </c>
      <c r="F13" s="81" t="n">
        <v>86997.553</v>
      </c>
      <c r="G13" s="81" t="n">
        <v>100535.854</v>
      </c>
      <c r="H13" s="81" t="n">
        <v>124067.756</v>
      </c>
      <c r="I13" s="81" t="n">
        <v>131191.251</v>
      </c>
      <c r="J13" s="82" t="inlineStr">
        <is>
          <t>B02/TCTD-HN 2020-2025</t>
        </is>
      </c>
    </row>
    <row r="14" ht="20.1" customHeight="1">
      <c r="A14" s="83" t="inlineStr">
        <is>
          <t>TM 23/24</t>
        </is>
      </c>
      <c r="B14" s="84" t="inlineStr">
        <is>
          <t>Trong đó: Vốn điều lệ</t>
        </is>
      </c>
      <c r="C14" s="83" t="inlineStr">
        <is>
          <t>tỷ</t>
        </is>
      </c>
      <c r="D14" s="85" t="n">
        <v>30709.923</v>
      </c>
      <c r="E14" s="85" t="n">
        <v>34328.393</v>
      </c>
      <c r="F14" s="85" t="n">
        <v>34446.863</v>
      </c>
      <c r="G14" s="85" t="n">
        <v>41268.833</v>
      </c>
      <c r="H14" s="85" t="n">
        <v>51638.603</v>
      </c>
      <c r="I14" s="85" t="n">
        <v>51638.603</v>
      </c>
      <c r="J14" s="86" t="inlineStr">
        <is>
          <t>B02/TCTD-HN 2020-2025</t>
        </is>
      </c>
    </row>
    <row r="15" ht="20.1" customHeight="1">
      <c r="A15" s="83" t="inlineStr">
        <is>
          <t>TM 39/40</t>
        </is>
      </c>
      <c r="B15" s="84" t="inlineStr">
        <is>
          <t>Ngoài bảng: Nợ khó đòi đã xử lý đang theo dõi (Hợp nhất)</t>
        </is>
      </c>
      <c r="C15" s="83" t="inlineStr">
        <is>
          <t>tỷ</t>
        </is>
      </c>
      <c r="D15" s="85" t="n">
        <v>145000</v>
      </c>
      <c r="E15" s="85" t="n">
        <v>156800</v>
      </c>
      <c r="F15" s="85" t="n">
        <v>181111.736</v>
      </c>
      <c r="G15" s="85" t="n">
        <v>205217.79</v>
      </c>
      <c r="H15" s="85" t="n">
        <v>235401.951</v>
      </c>
      <c r="I15" s="85" t="n">
        <v>278372.378</v>
      </c>
      <c r="J15" s="86" t="inlineStr">
        <is>
          <t>TM 39 BCTC HN 2023 (tr.93), TM 40 BCTC HN 2025 (tr.198); 2020-21 ước tính ngược từ dòng xóa nợ</t>
        </is>
      </c>
    </row>
    <row r="16" ht="21.95" customHeight="1">
      <c r="A16" s="77" t="inlineStr">
        <is>
          <t>II</t>
        </is>
      </c>
      <c r="B16" s="77" t="inlineStr">
        <is>
          <t>PHÂN TÍCH CHẤT LƯỢNG NỢ CHO VAY (THUYẾT MINH 9 / 10)</t>
        </is>
      </c>
      <c r="C16" s="78" t="n"/>
      <c r="D16" s="78" t="n"/>
      <c r="E16" s="78" t="n"/>
      <c r="F16" s="78" t="n"/>
      <c r="G16" s="78" t="n"/>
      <c r="H16" s="78" t="n"/>
      <c r="I16" s="78" t="n"/>
      <c r="J16" s="78" t="n"/>
    </row>
    <row r="17" ht="20.1" customHeight="1">
      <c r="A17" s="83" t="inlineStr">
        <is>
          <t>TM 9.1</t>
        </is>
      </c>
      <c r="B17" s="84" t="inlineStr">
        <is>
          <t>Nhóm 1 - Nợ đủ tiêu chuẩn</t>
        </is>
      </c>
      <c r="C17" s="83" t="inlineStr">
        <is>
          <t>tỷ</t>
        </is>
      </c>
      <c r="D17" s="85" t="n">
        <v>1161019.959</v>
      </c>
      <c r="E17" s="85" t="n">
        <v>1261194.332</v>
      </c>
      <c r="F17" s="85" t="n">
        <v>1381920.033</v>
      </c>
      <c r="G17" s="85" t="n">
        <v>1489187.09</v>
      </c>
      <c r="H17" s="85" t="n">
        <v>1662997.762</v>
      </c>
      <c r="I17" s="85" t="n">
        <v>1926570.291</v>
      </c>
      <c r="J17" s="86" t="inlineStr">
        <is>
          <t>TM 9 BCTC HN 2020 (tr.35), TM 10 2021 (tr.45), TM 9 2023 (tr.61), TM 9 2025 (tr.170)</t>
        </is>
      </c>
    </row>
    <row r="18" ht="20.1" customHeight="1">
      <c r="A18" s="79" t="inlineStr">
        <is>
          <t>TM 9.1</t>
        </is>
      </c>
      <c r="B18" s="80" t="inlineStr">
        <is>
          <t>Nhóm 2 - Nợ cần chú ý</t>
        </is>
      </c>
      <c r="C18" s="79" t="inlineStr">
        <is>
          <t>tỷ</t>
        </is>
      </c>
      <c r="D18" s="81" t="n">
        <v>30077.806</v>
      </c>
      <c r="E18" s="81" t="n">
        <v>28446.282</v>
      </c>
      <c r="F18" s="81" t="n">
        <v>35279.613</v>
      </c>
      <c r="G18" s="81" t="n">
        <v>32339.641</v>
      </c>
      <c r="H18" s="81" t="n">
        <v>29202.409</v>
      </c>
      <c r="I18" s="81" t="n">
        <v>21282.062</v>
      </c>
      <c r="J18" s="82" t="inlineStr">
        <is>
          <t>TM 9 BCTC HN 2020 (tr.35), TM 10 2021 (tr.45), TM 9 2023 (tr.61), TM 9 2025 (tr.170)</t>
        </is>
      </c>
    </row>
    <row r="19" ht="20.1" customHeight="1">
      <c r="A19" s="83" t="inlineStr">
        <is>
          <t>TM 9.1</t>
        </is>
      </c>
      <c r="B19" s="84" t="inlineStr">
        <is>
          <t>Nhóm 3 - Nợ dưới tiêu chuẩn</t>
        </is>
      </c>
      <c r="C19" s="83" t="inlineStr">
        <is>
          <t>tỷ</t>
        </is>
      </c>
      <c r="D19" s="85" t="n">
        <v>2744.748</v>
      </c>
      <c r="E19" s="85" t="n">
        <v>3141.256</v>
      </c>
      <c r="F19" s="85" t="n">
        <v>3887.707</v>
      </c>
      <c r="G19" s="85" t="n">
        <v>3880.436</v>
      </c>
      <c r="H19" s="85" t="n">
        <v>2282.808</v>
      </c>
      <c r="I19" s="85" t="n">
        <v>3325.667</v>
      </c>
      <c r="J19" s="86" t="inlineStr">
        <is>
          <t>TM 9 BCTC HN 2020 (tr.35), TM 10 2021 (tr.45), TM 9 2023 (tr.61), TM 9 2025 (tr.170)</t>
        </is>
      </c>
    </row>
    <row r="20" ht="20.1" customHeight="1">
      <c r="A20" s="83" t="inlineStr">
        <is>
          <t>TM 9.1</t>
        </is>
      </c>
      <c r="B20" s="84" t="inlineStr">
        <is>
          <t>Nhóm 4 - Nợ nghi ngờ</t>
        </is>
      </c>
      <c r="C20" s="83" t="inlineStr">
        <is>
          <t>tỷ</t>
        </is>
      </c>
      <c r="D20" s="85" t="n">
        <v>2425.499</v>
      </c>
      <c r="E20" s="85" t="n">
        <v>3379.431</v>
      </c>
      <c r="F20" s="85" t="n">
        <v>3176.562</v>
      </c>
      <c r="G20" s="85" t="n">
        <v>5592.596</v>
      </c>
      <c r="H20" s="85" t="n">
        <v>4088.234</v>
      </c>
      <c r="I20" s="85" t="n">
        <v>2064.309</v>
      </c>
      <c r="J20" s="86" t="inlineStr">
        <is>
          <t>TM 9 BCTC HN 2020 (tr.35), TM 10 2021 (tr.45), TM 9 2023 (tr.61), TM 9 2025 (tr.170)</t>
        </is>
      </c>
    </row>
    <row r="21" ht="20.1" customHeight="1">
      <c r="A21" s="79" t="inlineStr">
        <is>
          <t>TM 9.1</t>
        </is>
      </c>
      <c r="B21" s="80" t="inlineStr">
        <is>
          <t>Nhóm 5 - Nợ có khả năng mất vốn</t>
        </is>
      </c>
      <c r="C21" s="79" t="inlineStr">
        <is>
          <t>tỷ</t>
        </is>
      </c>
      <c r="D21" s="81" t="n">
        <v>16356.701</v>
      </c>
      <c r="E21" s="81" t="n">
        <v>18033.338</v>
      </c>
      <c r="F21" s="81" t="n">
        <v>19000.009</v>
      </c>
      <c r="G21" s="81" t="n">
        <v>19247.538</v>
      </c>
      <c r="H21" s="81" t="n">
        <v>22637.559</v>
      </c>
      <c r="I21" s="81" t="n">
        <v>20220.426</v>
      </c>
      <c r="J21" s="82" t="inlineStr">
        <is>
          <t>TM 9 BCTC HN 2020 (tr.35), TM 10 2021 (tr.45), TM 9 2023 (tr.61), TM 9 2025 (tr.170)</t>
        </is>
      </c>
    </row>
    <row r="22" ht="20.1" customHeight="1">
      <c r="A22" s="79" t="inlineStr">
        <is>
          <t>TM 9.1</t>
        </is>
      </c>
      <c r="B22" s="80" t="inlineStr">
        <is>
          <t>Cộng Dư nợ Ngân hàng mẹ (Riêng lẻ = Nhóm 1..5)</t>
        </is>
      </c>
      <c r="C22" s="79" t="inlineStr">
        <is>
          <t>tỷ</t>
        </is>
      </c>
      <c r="D22" s="81">
        <f>SUM(D17:D21)</f>
        <v/>
      </c>
      <c r="E22" s="81">
        <f>SUM(E17:E21)</f>
        <v/>
      </c>
      <c r="F22" s="81">
        <f>SUM(F17:F21)</f>
        <v/>
      </c>
      <c r="G22" s="81">
        <f>SUM(G17:G21)</f>
        <v/>
      </c>
      <c r="H22" s="81">
        <f>SUM(H17:H21)</f>
        <v/>
      </c>
      <c r="I22" s="81">
        <f>SUM(I17:I21)</f>
        <v/>
      </c>
      <c r="J22" s="82" t="inlineStr">
        <is>
          <t>Tổng cộng dư nợ phân loại Nhóm 1-5 tại Ngân hàng mẹ</t>
        </is>
      </c>
    </row>
    <row r="23" ht="20.1" customHeight="1">
      <c r="A23" s="83" t="inlineStr">
        <is>
          <t>TM 9.1</t>
        </is>
      </c>
      <c r="B23" s="84" t="inlineStr">
        <is>
          <t>Dư nợ cho vay và CTTC của công ty con (ALC I, ALC II) với KH ngoài</t>
        </is>
      </c>
      <c r="C23" s="83" t="inlineStr">
        <is>
          <t>tỷ</t>
        </is>
      </c>
      <c r="D23" s="85" t="n">
        <v>1333.532</v>
      </c>
      <c r="E23" s="85" t="n">
        <v>2254.325</v>
      </c>
      <c r="F23" s="85" t="n">
        <v>1537.837</v>
      </c>
      <c r="G23" s="85" t="n">
        <v>1910.526</v>
      </c>
      <c r="H23" s="85" t="n">
        <v>2173.422</v>
      </c>
      <c r="I23" s="85" t="n">
        <v>2906.02</v>
      </c>
      <c r="J23" s="86" t="inlineStr">
        <is>
          <t>TM 9 BCTC HN 2020 (tr.35), TM 10 2021 (tr.45), TM 9 2023 (tr.61), TM 9 2025 (tr.170)</t>
        </is>
      </c>
    </row>
    <row r="24" ht="20.1" customHeight="1">
      <c r="A24" s="79" t="inlineStr">
        <is>
          <t>TM 9.1</t>
        </is>
      </c>
      <c r="B24" s="80" t="inlineStr">
        <is>
          <t>Tổng Dư nợ cho vay khách hàng Hợp nhất</t>
        </is>
      </c>
      <c r="C24" s="79" t="inlineStr">
        <is>
          <t>tỷ</t>
        </is>
      </c>
      <c r="D24" s="81">
        <f>D22+D23</f>
        <v/>
      </c>
      <c r="E24" s="81">
        <f>E22+E23</f>
        <v/>
      </c>
      <c r="F24" s="81">
        <f>F22+F23</f>
        <v/>
      </c>
      <c r="G24" s="81">
        <f>G22+G23</f>
        <v/>
      </c>
      <c r="H24" s="81">
        <f>H22+H23</f>
        <v/>
      </c>
      <c r="I24" s="81">
        <f>I22+I23</f>
        <v/>
      </c>
      <c r="J24" s="82" t="inlineStr">
        <is>
          <t>Khớp 100% chỉ tiêu VI.1 trên Bảng cân đối kế toán Hợp nhất</t>
        </is>
      </c>
    </row>
    <row r="25" ht="20.1" customHeight="1">
      <c r="A25" s="79" t="inlineStr">
        <is>
          <t>TM 9.1</t>
        </is>
      </c>
      <c r="B25" s="80" t="inlineStr">
        <is>
          <t>Tổng Nợ xấu nội bảng (Nhóm 3 + Nhóm 4 + Nhóm 5)</t>
        </is>
      </c>
      <c r="C25" s="79" t="inlineStr">
        <is>
          <t>tỷ</t>
        </is>
      </c>
      <c r="D25" s="81">
        <f>SUM(D19:D21)</f>
        <v/>
      </c>
      <c r="E25" s="81">
        <f>SUM(E19:E21)</f>
        <v/>
      </c>
      <c r="F25" s="81">
        <f>SUM(F19:F21)</f>
        <v/>
      </c>
      <c r="G25" s="81">
        <f>SUM(G19:G21)</f>
        <v/>
      </c>
      <c r="H25" s="81">
        <f>SUM(H19:H21)</f>
        <v/>
      </c>
      <c r="I25" s="81">
        <f>SUM(I19:I21)</f>
        <v/>
      </c>
      <c r="J25" s="82" t="inlineStr">
        <is>
          <t>Tổng nợ xấu Nhóm 3-5 theo Thuyết minh BCTC kiểm toán</t>
        </is>
      </c>
    </row>
    <row r="26" ht="20.1" customHeight="1">
      <c r="A26" s="79" t="inlineStr">
        <is>
          <t>Tỷ lệ</t>
        </is>
      </c>
      <c r="B26" s="80" t="inlineStr">
        <is>
          <t>Tỷ lệ NPL tính từ BCTC Hợp nhất (= Nợ xấu / Dư nợ HN)</t>
        </is>
      </c>
      <c r="C26" s="79" t="inlineStr">
        <is>
          <t>%</t>
        </is>
      </c>
      <c r="D26" s="88">
        <f>D25/D24</f>
        <v/>
      </c>
      <c r="E26" s="88">
        <f>E25/E24</f>
        <v/>
      </c>
      <c r="F26" s="88">
        <f>F25/F24</f>
        <v/>
      </c>
      <c r="G26" s="88">
        <f>G25/G24</f>
        <v/>
      </c>
      <c r="H26" s="88">
        <f>H25/H24</f>
        <v/>
      </c>
      <c r="I26" s="88">
        <f>I25/I24</f>
        <v/>
      </c>
      <c r="J26" s="82" t="inlineStr">
        <is>
          <t>Tỷ lệ nợ xấu tính trực tiếp trên Dư nợ cho vay KH Hợp nhất</t>
        </is>
      </c>
    </row>
    <row r="27" ht="20.1" customHeight="1">
      <c r="A27" s="83" t="inlineStr">
        <is>
          <t>Tỷ lệ</t>
        </is>
      </c>
      <c r="B27" s="84" t="inlineStr">
        <is>
          <t>Tỷ lệ NPL tính từ BCTC Riêng lẻ (= Nợ xấu / Dư nợ Riêng)</t>
        </is>
      </c>
      <c r="C27" s="83" t="inlineStr">
        <is>
          <t>%</t>
        </is>
      </c>
      <c r="D27" s="89">
        <f>D25/D22</f>
        <v/>
      </c>
      <c r="E27" s="89">
        <f>E25/E22</f>
        <v/>
      </c>
      <c r="F27" s="89">
        <f>F25/F22</f>
        <v/>
      </c>
      <c r="G27" s="89">
        <f>G25/G22</f>
        <v/>
      </c>
      <c r="H27" s="89">
        <f>H25/H22</f>
        <v/>
      </c>
      <c r="I27" s="89">
        <f>I25/I22</f>
        <v/>
      </c>
      <c r="J27" s="86" t="inlineStr">
        <is>
          <t>Tỷ lệ nợ xấu tính trực tiếp trên Dư nợ cho vay KH Ngân hàng mẹ</t>
        </is>
      </c>
    </row>
    <row r="28" ht="20.1" customHeight="1">
      <c r="A28" s="79" t="inlineStr">
        <is>
          <t>BCTN</t>
        </is>
      </c>
      <c r="B28" s="80" t="inlineStr">
        <is>
          <t>Tỷ lệ NPL nội bảng chuẩn TT11/TT31 (Bảng chỉ tiêu BCTN 2024-2025)</t>
        </is>
      </c>
      <c r="C28" s="79" t="inlineStr">
        <is>
          <t>%</t>
        </is>
      </c>
      <c r="D28" s="88" t="n">
        <v>0.0163</v>
      </c>
      <c r="E28" s="88" t="n">
        <v>0.0178</v>
      </c>
      <c r="F28" s="88" t="n">
        <v>0.0171</v>
      </c>
      <c r="G28" s="88" t="n">
        <v>0.0177</v>
      </c>
      <c r="H28" s="88" t="n">
        <v>0.0158</v>
      </c>
      <c r="I28" s="88" t="n">
        <v>0.0117</v>
      </c>
      <c r="J28" s="82" t="inlineStr">
        <is>
          <t>BCTN 2024 (tr.16 PDF) &amp; BCTN 2025 (tr.21 PDF) - tính trên tổng cấp TD nội bảng</t>
        </is>
      </c>
    </row>
    <row r="29" ht="20.1" customHeight="1">
      <c r="A29" s="83" t="inlineStr">
        <is>
          <t>BCTN</t>
        </is>
      </c>
      <c r="B29" s="84" t="inlineStr">
        <is>
          <t>Tỷ lệ NPL theo Báo cáo điều hành từng năm (BCTN 2020-2025)</t>
        </is>
      </c>
      <c r="C29" s="83" t="inlineStr">
        <is>
          <t>%</t>
        </is>
      </c>
      <c r="D29" s="90" t="n">
        <v>0.0164</v>
      </c>
      <c r="E29" s="90" t="n">
        <v>0.0171</v>
      </c>
      <c r="F29" s="90" t="n">
        <v>0.0164</v>
      </c>
      <c r="G29" s="90" t="n">
        <v>0.0165</v>
      </c>
      <c r="H29" s="90" t="n">
        <v>0.0156</v>
      </c>
      <c r="I29" s="90" t="n">
        <v>0.0114</v>
      </c>
      <c r="J29" s="86" t="inlineStr">
        <is>
          <t>BCTN 2020 (tr.18), 2021 (tr.34), 2022 (tr.38), 2023 (tr.39), 2024 (tr.10), 2025 (tr.4)</t>
        </is>
      </c>
    </row>
    <row r="30" ht="21.95" customHeight="1">
      <c r="A30" s="77" t="inlineStr">
        <is>
          <t>III</t>
        </is>
      </c>
      <c r="B30" s="77" t="inlineStr">
        <is>
          <t>BIẾN ĐỘNG DỰ PHÒNG RỦI RO CHO VAY KHÁCH HÀNG HỢP NHẤT (TM 10 / 11)</t>
        </is>
      </c>
      <c r="C30" s="78" t="n"/>
      <c r="D30" s="78" t="n"/>
      <c r="E30" s="78" t="n"/>
      <c r="F30" s="78" t="n"/>
      <c r="G30" s="78" t="n"/>
      <c r="H30" s="78" t="n"/>
      <c r="I30" s="78" t="n"/>
      <c r="J30" s="78" t="n"/>
    </row>
    <row r="31" ht="20.1" customHeight="1">
      <c r="A31" s="83" t="inlineStr">
        <is>
          <t>TM 10/11</t>
        </is>
      </c>
      <c r="B31" s="84" t="inlineStr">
        <is>
          <t>Số dư Dự phòng chung cuối năm (Hợp nhất)</t>
        </is>
      </c>
      <c r="C31" s="83" t="inlineStr">
        <is>
          <t>tỷ</t>
        </is>
      </c>
      <c r="D31" s="85" t="n">
        <v>8856.752</v>
      </c>
      <c r="E31" s="85" t="n">
        <v>9743.324000000001</v>
      </c>
      <c r="F31" s="85" t="n">
        <v>10598.299</v>
      </c>
      <c r="G31" s="85" t="n">
        <v>11412.795</v>
      </c>
      <c r="H31" s="85" t="n">
        <v>12628.766</v>
      </c>
      <c r="I31" s="85" t="n">
        <v>14602.264</v>
      </c>
      <c r="J31" s="86" t="inlineStr">
        <is>
          <t>TM 10 BCTC HN 2020 (tr.37), TM 11 2021 (tr.48), TM 10 2023 (tr.64), TM 10 2025 (tr.172)</t>
        </is>
      </c>
    </row>
    <row r="32" ht="20.1" customHeight="1">
      <c r="A32" s="83" t="inlineStr">
        <is>
          <t>TM 10/11</t>
        </is>
      </c>
      <c r="B32" s="84" t="inlineStr">
        <is>
          <t>Số dư Dự phòng cụ thể cuối năm (Hợp nhất)</t>
        </is>
      </c>
      <c r="C32" s="83" t="inlineStr">
        <is>
          <t>tỷ</t>
        </is>
      </c>
      <c r="D32" s="85" t="n">
        <v>15600.737</v>
      </c>
      <c r="E32" s="85" t="n">
        <v>24840.15</v>
      </c>
      <c r="F32" s="85" t="n">
        <v>26237.403</v>
      </c>
      <c r="G32" s="85" t="n">
        <v>26600.362</v>
      </c>
      <c r="H32" s="85" t="n">
        <v>25649.989</v>
      </c>
      <c r="I32" s="85" t="n">
        <v>22862.985</v>
      </c>
      <c r="J32" s="86" t="inlineStr">
        <is>
          <t>TM 10 BCTC HN 2020 (tr.37), TM 11 2021 (tr.48), TM 10 2023 (tr.64), TM 10 2025 (tr.173)</t>
        </is>
      </c>
    </row>
    <row r="33" ht="20.1" customHeight="1">
      <c r="A33" s="79" t="inlineStr">
        <is>
          <t>TM 10/11</t>
        </is>
      </c>
      <c r="B33" s="80" t="inlineStr">
        <is>
          <t>Tổng số dư Dự phòng rủi ro cho vay KH cuối năm (Hợp nhất)</t>
        </is>
      </c>
      <c r="C33" s="79" t="inlineStr">
        <is>
          <t>tỷ</t>
        </is>
      </c>
      <c r="D33" s="81">
        <f>D31+D32</f>
        <v/>
      </c>
      <c r="E33" s="81">
        <f>E31+E32</f>
        <v/>
      </c>
      <c r="F33" s="81">
        <f>F31+F32</f>
        <v/>
      </c>
      <c r="G33" s="81">
        <f>G31+G32</f>
        <v/>
      </c>
      <c r="H33" s="81">
        <f>H31+H32</f>
        <v/>
      </c>
      <c r="I33" s="81">
        <f>I31+I32</f>
        <v/>
      </c>
      <c r="J33" s="82" t="inlineStr">
        <is>
          <t>Tổng quỹ dự phòng rủi ro cho vay khách hàng = DP chung + DP cụ thể</t>
        </is>
      </c>
    </row>
    <row r="34" ht="20.1" customHeight="1">
      <c r="A34" s="83" t="inlineStr">
        <is>
          <t>TM 10/11</t>
        </is>
      </c>
      <c r="B34" s="84" t="inlineStr">
        <is>
          <t>Tổng trích lập dự phòng cho vay KH trong năm (Hợp nhất)</t>
        </is>
      </c>
      <c r="C34" s="83" t="inlineStr">
        <is>
          <t>tỷ</t>
        </is>
      </c>
      <c r="D34" s="85" t="n">
        <v>18732.286</v>
      </c>
      <c r="E34" s="85" t="n">
        <v>22047.625</v>
      </c>
      <c r="F34" s="85" t="n">
        <v>27171.919</v>
      </c>
      <c r="G34" s="85" t="n">
        <v>19347.073</v>
      </c>
      <c r="H34" s="85" t="n">
        <v>26658.287</v>
      </c>
      <c r="I34" s="85" t="n">
        <v>31807.972</v>
      </c>
      <c r="J34" s="86" t="inlineStr">
        <is>
          <t>TM 10/11 BCTC HN (Trích lập DP chung + Trích lập DP cụ thể trong năm)</t>
        </is>
      </c>
    </row>
    <row r="35" ht="20.1" customHeight="1">
      <c r="A35" s="79" t="inlineStr">
        <is>
          <t>TM 10/11</t>
        </is>
      </c>
      <c r="B35" s="80" t="inlineStr">
        <is>
          <t>Sử dụng dự phòng để xử lý rủi ro trong năm (Nợ xóa - Hợp nhất)</t>
        </is>
      </c>
      <c r="C35" s="79" t="inlineStr">
        <is>
          <t>tỷ</t>
        </is>
      </c>
      <c r="D35" s="81" t="n">
        <v>14125.505</v>
      </c>
      <c r="E35" s="81" t="n">
        <v>11921.64</v>
      </c>
      <c r="F35" s="81" t="n">
        <v>24547.581</v>
      </c>
      <c r="G35" s="81" t="n">
        <v>18169.618</v>
      </c>
      <c r="H35" s="81" t="n">
        <v>26444.41</v>
      </c>
      <c r="I35" s="81" t="n">
        <v>32621.478</v>
      </c>
      <c r="J35" s="82" t="inlineStr">
        <is>
          <t>TM 10 BCTC HN 2020 (tr.37), TM 11 2021 (tr.48), TM 10 2023 (tr.64), TM 10 2025 (tr.173)</t>
        </is>
      </c>
    </row>
    <row r="36" ht="20.1" customHeight="1">
      <c r="A36" s="79" t="inlineStr">
        <is>
          <t>Tỷ lệ</t>
        </is>
      </c>
      <c r="B36" s="80" t="inlineStr">
        <is>
          <t>Tỷ lệ bao phủ nợ xấu Hợp nhất (LLCR = Tổng DPRR HN / Nợ xấu)</t>
        </is>
      </c>
      <c r="C36" s="79" t="inlineStr">
        <is>
          <t>%</t>
        </is>
      </c>
      <c r="D36" s="91">
        <f>D33/D25</f>
        <v/>
      </c>
      <c r="E36" s="91">
        <f>E33/E25</f>
        <v/>
      </c>
      <c r="F36" s="91">
        <f>F33/F25</f>
        <v/>
      </c>
      <c r="G36" s="91">
        <f>G33/G25</f>
        <v/>
      </c>
      <c r="H36" s="91">
        <f>H33/H25</f>
        <v/>
      </c>
      <c r="I36" s="91">
        <f>I33/I25</f>
        <v/>
      </c>
      <c r="J36" s="82" t="inlineStr">
        <is>
          <t>LLCR Hợp nhất tính trực tiếp từ BCTC Kiểm toán</t>
        </is>
      </c>
    </row>
    <row r="37" ht="20.1" customHeight="1">
      <c r="A37" s="83" t="inlineStr">
        <is>
          <t>Tỷ lệ</t>
        </is>
      </c>
      <c r="B37" s="84" t="inlineStr">
        <is>
          <t>Tỷ lệ bao phủ nợ xấu Riêng lẻ (LLCR = Tổng DPRR Riêng / Nợ xấu)</t>
        </is>
      </c>
      <c r="C37" s="83" t="inlineStr">
        <is>
          <t>%</t>
        </is>
      </c>
      <c r="D37" s="92">
        <f>D11/D25</f>
        <v/>
      </c>
      <c r="E37" s="92">
        <f>E11/E25</f>
        <v/>
      </c>
      <c r="F37" s="92">
        <f>F11/F25</f>
        <v/>
      </c>
      <c r="G37" s="92">
        <f>G11/G25</f>
        <v/>
      </c>
      <c r="H37" s="92">
        <f>H11/H25</f>
        <v/>
      </c>
      <c r="I37" s="92">
        <f>I11/I25</f>
        <v/>
      </c>
      <c r="J37" s="86" t="inlineStr">
        <is>
          <t>LLCR Ngân hàng mẹ tính trực tiếp từ BCTC Kiểm toán Riêng lẻ</t>
        </is>
      </c>
    </row>
    <row r="38" ht="21.95" customHeight="1">
      <c r="A38" s="77" t="inlineStr">
        <is>
          <t>IV</t>
        </is>
      </c>
      <c r="B38" s="77" t="inlineStr">
        <is>
          <t>BÁO CÁO KẾT QUẢ HOẠT ĐỘNG KINH DOANH HỢP NHẤT &amp; THU NỢ XLRR</t>
        </is>
      </c>
      <c r="C38" s="78" t="n"/>
      <c r="D38" s="78" t="n"/>
      <c r="E38" s="78" t="n"/>
      <c r="F38" s="78" t="n"/>
      <c r="G38" s="78" t="n"/>
      <c r="H38" s="78" t="n"/>
      <c r="I38" s="78" t="n"/>
      <c r="J38" s="78" t="n"/>
    </row>
    <row r="39" ht="20.1" customHeight="1">
      <c r="A39" s="83" t="inlineStr">
        <is>
          <t>B03-HN</t>
        </is>
      </c>
      <c r="B39" s="84" t="inlineStr">
        <is>
          <t>Thu nhập lãi thuần (NII - Hợp nhất)</t>
        </is>
      </c>
      <c r="C39" s="83" t="inlineStr">
        <is>
          <t>tỷ</t>
        </is>
      </c>
      <c r="D39" s="85" t="n">
        <v>43660.623</v>
      </c>
      <c r="E39" s="85" t="n">
        <v>47041.165</v>
      </c>
      <c r="F39" s="85" t="n">
        <v>60189.542</v>
      </c>
      <c r="G39" s="85" t="n">
        <v>55964.737</v>
      </c>
      <c r="H39" s="85" t="n">
        <v>66554.11599999999</v>
      </c>
      <c r="I39" s="85" t="n">
        <v>70616.60000000001</v>
      </c>
      <c r="J39" s="86" t="inlineStr">
        <is>
          <t>B03/TCTD-HN: 2020 (tr.10), 2021 (tr.10), 2023 (tr.24), 2025 (tr.130)</t>
        </is>
      </c>
    </row>
    <row r="40" ht="20.1" customHeight="1">
      <c r="A40" s="83" t="inlineStr">
        <is>
          <t>TM 29/30</t>
        </is>
      </c>
      <c r="B40" s="84" t="inlineStr">
        <is>
          <t>Lãi thuần từ hoạt động khác (Mục VI KQKD Hợp nhất)</t>
        </is>
      </c>
      <c r="C40" s="83" t="inlineStr">
        <is>
          <t>tỷ</t>
        </is>
      </c>
      <c r="D40" s="85" t="n">
        <v>8107.448</v>
      </c>
      <c r="E40" s="85" t="n">
        <v>8257.912</v>
      </c>
      <c r="F40" s="85" t="n">
        <v>9842.212</v>
      </c>
      <c r="G40" s="85" t="n">
        <v>10529.197</v>
      </c>
      <c r="H40" s="85" t="n">
        <v>10453.924</v>
      </c>
      <c r="I40" s="85" t="n">
        <v>16182.827</v>
      </c>
      <c r="J40" s="86" t="inlineStr">
        <is>
          <t>TM 30 BCTC HN 2020 (tr.58), 2021 (tr.65), TM 29 2023 (tr.86), TM 30 2025 (tr.193)</t>
        </is>
      </c>
    </row>
    <row r="41" ht="20.1" customHeight="1">
      <c r="A41" s="79" t="inlineStr">
        <is>
          <t>TM 29/30</t>
        </is>
      </c>
      <c r="B41" s="80" t="inlineStr">
        <is>
          <t>Trong đó: Thu từ các khoản nợ đã xử lý rủi ro (TM 29/30 BCTC)</t>
        </is>
      </c>
      <c r="C41" s="79" t="inlineStr">
        <is>
          <t>tỷ</t>
        </is>
      </c>
      <c r="D41" s="81" t="n">
        <v>8673.418</v>
      </c>
      <c r="E41" s="81" t="n">
        <v>8810.266</v>
      </c>
      <c r="F41" s="81" t="n">
        <v>10267.203</v>
      </c>
      <c r="G41" s="81" t="n">
        <v>11167.15</v>
      </c>
      <c r="H41" s="81" t="n">
        <v>8412.708000000001</v>
      </c>
      <c r="I41" s="81" t="n">
        <v>12122.774</v>
      </c>
      <c r="J41" s="82" t="inlineStr">
        <is>
          <t>TM 30 BCTC HN 2020 (tr.58), 2021 (tr.65), TM 29 2023 (tr.86), TM 30 2025 (tr.193)</t>
        </is>
      </c>
    </row>
    <row r="42" ht="20.1" customHeight="1">
      <c r="A42" s="83" t="inlineStr">
        <is>
          <t>BCTN</t>
        </is>
      </c>
      <c r="B42" s="84" t="inlineStr">
        <is>
          <t>Tổng thu nợ sau xử lý rủi ro công bố tại BCTN (gồm thu xử lý TS)</t>
        </is>
      </c>
      <c r="C42" s="83" t="inlineStr">
        <is>
          <t>tỷ</t>
        </is>
      </c>
      <c r="D42" s="85" t="n">
        <v>8673.418</v>
      </c>
      <c r="E42" s="85" t="n">
        <v>8810.266</v>
      </c>
      <c r="F42" s="85" t="n">
        <v>10267.203</v>
      </c>
      <c r="G42" s="85" t="n">
        <v>11167.15</v>
      </c>
      <c r="H42" s="85" t="n">
        <v>11662</v>
      </c>
      <c r="I42" s="85" t="n">
        <v>16305</v>
      </c>
      <c r="J42" s="86" t="inlineStr">
        <is>
          <t>BCTN 2024 (tr.27 PDF: 11.662 tỷ) &amp; BCTN 2025 (tr.4 PDF: 16.305 tỷ)</t>
        </is>
      </c>
    </row>
    <row r="43" ht="20.1" customHeight="1">
      <c r="A43" s="79" t="inlineStr">
        <is>
          <t>B03-HN</t>
        </is>
      </c>
      <c r="B43" s="80" t="inlineStr">
        <is>
          <t>Tổng thu nhập hoạt động (TOI - Hợp nhất)</t>
        </is>
      </c>
      <c r="C43" s="79" t="inlineStr">
        <is>
          <t>tỷ</t>
        </is>
      </c>
      <c r="D43" s="81" t="n">
        <v>58052.435</v>
      </c>
      <c r="E43" s="81" t="n">
        <v>62106.224</v>
      </c>
      <c r="F43" s="81" t="n">
        <v>77860.561</v>
      </c>
      <c r="G43" s="81" t="n">
        <v>76138.662</v>
      </c>
      <c r="H43" s="81" t="n">
        <v>86496.47</v>
      </c>
      <c r="I43" s="81" t="n">
        <v>97521.784</v>
      </c>
      <c r="J43" s="82" t="inlineStr">
        <is>
          <t>B03/TCTD-HN 2020-2025</t>
        </is>
      </c>
    </row>
    <row r="44" ht="20.1" customHeight="1">
      <c r="A44" s="83" t="inlineStr">
        <is>
          <t>TM 32/33</t>
        </is>
      </c>
      <c r="B44" s="84" t="inlineStr">
        <is>
          <t>Tổng chi phí hoạt động (OPEX - Hợp nhất)</t>
        </is>
      </c>
      <c r="C44" s="83" t="inlineStr">
        <is>
          <t>tỷ</t>
        </is>
      </c>
      <c r="D44" s="85" t="n">
        <v>26117.208</v>
      </c>
      <c r="E44" s="85" t="n">
        <v>24801.001</v>
      </c>
      <c r="F44" s="85" t="n">
        <v>28150.016</v>
      </c>
      <c r="G44" s="85" t="n">
        <v>30932.407</v>
      </c>
      <c r="H44" s="85" t="n">
        <v>32263.408</v>
      </c>
      <c r="I44" s="85" t="n">
        <v>34543.97</v>
      </c>
      <c r="J44" s="86" t="inlineStr">
        <is>
          <t>B03/TCTD-HN 2020-2025</t>
        </is>
      </c>
    </row>
    <row r="45" ht="20.1" customHeight="1">
      <c r="A45" s="79" t="inlineStr">
        <is>
          <t>B03-HN</t>
        </is>
      </c>
      <c r="B45" s="80" t="inlineStr">
        <is>
          <t>Lợi nhuận thuần từ HĐKD trước CP DPRR (PPOP - Hợp nhất)</t>
        </is>
      </c>
      <c r="C45" s="79" t="inlineStr">
        <is>
          <t>tỷ</t>
        </is>
      </c>
      <c r="D45" s="81">
        <f>D43-D44</f>
        <v/>
      </c>
      <c r="E45" s="81">
        <f>E43-E44</f>
        <v/>
      </c>
      <c r="F45" s="81">
        <f>F43-F44</f>
        <v/>
      </c>
      <c r="G45" s="81">
        <f>G43-G44</f>
        <v/>
      </c>
      <c r="H45" s="81">
        <f>H43-H44</f>
        <v/>
      </c>
      <c r="I45" s="81">
        <f>I43-I44</f>
        <v/>
      </c>
      <c r="J45" s="82" t="inlineStr">
        <is>
          <t>TOI trừ OPEX trên B03/TCTD-HN</t>
        </is>
      </c>
    </row>
    <row r="46" ht="20.1" customHeight="1">
      <c r="A46" s="79" t="inlineStr">
        <is>
          <t>B03-HN</t>
        </is>
      </c>
      <c r="B46" s="80" t="inlineStr">
        <is>
          <t>Chi phí dự phòng rủi ro tín dụng trên KQKD (Hợp nhất)</t>
        </is>
      </c>
      <c r="C46" s="79" t="inlineStr">
        <is>
          <t>tỷ</t>
        </is>
      </c>
      <c r="D46" s="81" t="n">
        <v>18732.286</v>
      </c>
      <c r="E46" s="81" t="n">
        <v>22047.625</v>
      </c>
      <c r="F46" s="81" t="n">
        <v>27171.92</v>
      </c>
      <c r="G46" s="81" t="n">
        <v>19347.073</v>
      </c>
      <c r="H46" s="81" t="n">
        <v>26658.287</v>
      </c>
      <c r="I46" s="81" t="n">
        <v>31808.213</v>
      </c>
      <c r="J46" s="82" t="inlineStr">
        <is>
          <t>B03/TCTD-HN 2020-2025 (Ghi chú: BCTN 2025 sau ĐC KTNN năm 2021 là 21.676, năm 2023 là 19.399)</t>
        </is>
      </c>
    </row>
    <row r="47" ht="20.1" customHeight="1">
      <c r="A47" s="79" t="inlineStr">
        <is>
          <t>B03-HN</t>
        </is>
      </c>
      <c r="B47" s="80" t="inlineStr">
        <is>
          <t>Tổng lợi nhuận trước thuế (LNTT - Hợp nhất)</t>
        </is>
      </c>
      <c r="C47" s="79" t="inlineStr">
        <is>
          <t>tỷ</t>
        </is>
      </c>
      <c r="D47" s="81">
        <f>D45-D46</f>
        <v/>
      </c>
      <c r="E47" s="81">
        <f>E45-E46</f>
        <v/>
      </c>
      <c r="F47" s="81">
        <f>F45-F46</f>
        <v/>
      </c>
      <c r="G47" s="81">
        <f>G45-G46</f>
        <v/>
      </c>
      <c r="H47" s="81">
        <f>H45-H46</f>
        <v/>
      </c>
      <c r="I47" s="81">
        <f>I45-I46</f>
        <v/>
      </c>
      <c r="J47" s="82" t="inlineStr">
        <is>
          <t>B03/TCTD-HN 2020-2025 (BCTN 2025 sau ĐC KTNN: 2020=12.869, 2021=15.339, 2023=25.641)</t>
        </is>
      </c>
    </row>
    <row r="48" ht="20.1" customHeight="1">
      <c r="A48" s="79" t="inlineStr">
        <is>
          <t>B03-HN</t>
        </is>
      </c>
      <c r="B48" s="80" t="inlineStr">
        <is>
          <t>Lợi nhuận sau thuế (LNST - Hợp nhất)</t>
        </is>
      </c>
      <c r="C48" s="79" t="inlineStr">
        <is>
          <t>tỷ</t>
        </is>
      </c>
      <c r="D48" s="81" t="n">
        <v>10516.804</v>
      </c>
      <c r="E48" s="81" t="n">
        <v>12261.032</v>
      </c>
      <c r="F48" s="81" t="n">
        <v>18043</v>
      </c>
      <c r="G48" s="81" t="n">
        <v>20695.801</v>
      </c>
      <c r="H48" s="81" t="n">
        <v>22067.275</v>
      </c>
      <c r="I48" s="81" t="n">
        <v>24954.573</v>
      </c>
      <c r="J48" s="82" t="inlineStr">
        <is>
          <t>B03/TCTD-HN 2020-2025</t>
        </is>
      </c>
    </row>
    <row r="49" ht="21.95" customHeight="1">
      <c r="A49" s="77" t="inlineStr">
        <is>
          <t>V</t>
        </is>
      </c>
      <c r="B49" s="77" t="inlineStr">
        <is>
          <t>TÀI SẢN ĐẢM BẢO, DƯ NỢ THEO NGÀNH, CAR &amp; NỢ CƠ CẤU</t>
        </is>
      </c>
      <c r="C49" s="78" t="n"/>
      <c r="D49" s="78" t="n"/>
      <c r="E49" s="78" t="n"/>
      <c r="F49" s="78" t="n"/>
      <c r="G49" s="78" t="n"/>
      <c r="H49" s="78" t="n"/>
      <c r="I49" s="78" t="n"/>
      <c r="J49" s="78" t="n"/>
    </row>
    <row r="50" ht="20.1" customHeight="1">
      <c r="A50" s="79" t="inlineStr">
        <is>
          <t>TM 36/37</t>
        </is>
      </c>
      <c r="B50" s="80" t="inlineStr">
        <is>
          <t>Tổng giá trị Tài sản bảo đảm của khách hàng (Hợp nhất)</t>
        </is>
      </c>
      <c r="C50" s="79" t="inlineStr">
        <is>
          <t>tỷ</t>
        </is>
      </c>
      <c r="D50" s="81" t="n">
        <v>2036527.623</v>
      </c>
      <c r="E50" s="81" t="n">
        <v>2284953.297</v>
      </c>
      <c r="F50" s="81" t="n">
        <v>2530274.588</v>
      </c>
      <c r="G50" s="81" t="n">
        <v>2927711.308</v>
      </c>
      <c r="H50" s="81" t="n">
        <v>3189972.178</v>
      </c>
      <c r="I50" s="81" t="n">
        <v>3739943.09</v>
      </c>
      <c r="J50" s="82" t="inlineStr">
        <is>
          <t>TM 37 BCTC HN 2020 (tr.62), 2021 (tr.69), TM 36 2023 (tr.91), TM 37 2025 (tr.196)</t>
        </is>
      </c>
    </row>
    <row r="51" ht="20.1" customHeight="1">
      <c r="A51" s="83" t="inlineStr">
        <is>
          <t>TM 36/37</t>
        </is>
      </c>
      <c r="B51" s="84" t="inlineStr">
        <is>
          <t>Tổng tài sản, GTCG nhận thế chấp cầm cố (gồm cả TCTD khác)</t>
        </is>
      </c>
      <c r="C51" s="83" t="inlineStr">
        <is>
          <t>tỷ</t>
        </is>
      </c>
      <c r="D51" s="85" t="n">
        <v>2064379.623</v>
      </c>
      <c r="E51" s="85" t="n">
        <v>2327020.297</v>
      </c>
      <c r="F51" s="85" t="n">
        <v>2545250.355</v>
      </c>
      <c r="G51" s="85" t="n">
        <v>2946331.781</v>
      </c>
      <c r="H51" s="85" t="n">
        <v>3196264.001</v>
      </c>
      <c r="I51" s="85" t="n">
        <v>3794977.584</v>
      </c>
      <c r="J51" s="86" t="inlineStr">
        <is>
          <t>TM 37 BCTC HN 2020 (tr.62), 2021 (tr.69), TM 36 2023 (tr.91), TM 37 2025 (tr.196)</t>
        </is>
      </c>
    </row>
    <row r="52" ht="20.1" customHeight="1">
      <c r="A52" s="79" t="inlineStr">
        <is>
          <t>TM 36/37</t>
        </is>
      </c>
      <c r="B52" s="80" t="inlineStr">
        <is>
          <t>Trong đó: Bất động sản thế chấp của khách hàng</t>
        </is>
      </c>
      <c r="C52" s="79" t="inlineStr">
        <is>
          <t>tỷ</t>
        </is>
      </c>
      <c r="D52" s="81" t="n">
        <v>1840466.689</v>
      </c>
      <c r="E52" s="81" t="n">
        <v>2018025.685</v>
      </c>
      <c r="F52" s="81" t="n">
        <v>2289606.132</v>
      </c>
      <c r="G52" s="81" t="n">
        <v>2645514.361</v>
      </c>
      <c r="H52" s="81" t="n">
        <v>2923973.132</v>
      </c>
      <c r="I52" s="81" t="n">
        <v>3371568.305</v>
      </c>
      <c r="J52" s="82" t="inlineStr">
        <is>
          <t>TM 37 BCTC HN 2020 (tr.62), 2021 (tr.69), TM 36 2023 (tr.91), TM 37 2025 (tr.196)</t>
        </is>
      </c>
    </row>
    <row r="53" ht="20.1" customHeight="1">
      <c r="A53" s="83" t="inlineStr">
        <is>
          <t>TM 9(iii)</t>
        </is>
      </c>
      <c r="B53" s="84" t="inlineStr">
        <is>
          <t>Dư nợ ngành Nông nghiệp, lâm nghiệp và thủy sản</t>
        </is>
      </c>
      <c r="C53" s="83" t="inlineStr">
        <is>
          <t>tỷ</t>
        </is>
      </c>
      <c r="D53" s="85" t="n">
        <v>323629.748</v>
      </c>
      <c r="E53" s="85" t="n">
        <v>339749.579</v>
      </c>
      <c r="F53" s="85" t="n">
        <v>370719.689</v>
      </c>
      <c r="G53" s="85" t="n">
        <v>400433.011</v>
      </c>
      <c r="H53" s="85" t="n">
        <v>437858.834</v>
      </c>
      <c r="I53" s="85" t="n">
        <v>506222.905</v>
      </c>
      <c r="J53" s="86" t="inlineStr">
        <is>
          <t>TM 9.3/10(iii) BCTC HN 2020-2025 (chiếm 25,4% - 26,7% dư nợ)</t>
        </is>
      </c>
    </row>
    <row r="54" ht="20.1" customHeight="1">
      <c r="A54" s="83" t="inlineStr">
        <is>
          <t>TM 9(iii)</t>
        </is>
      </c>
      <c r="B54" s="84" t="inlineStr">
        <is>
          <t>Dư nợ ngành Kinh doanh Bất động sản</t>
        </is>
      </c>
      <c r="C54" s="83" t="inlineStr">
        <is>
          <t>tỷ</t>
        </is>
      </c>
      <c r="D54" s="85" t="n">
        <v>16338.338</v>
      </c>
      <c r="E54" s="85" t="n">
        <v>17908.762</v>
      </c>
      <c r="F54" s="85" t="n">
        <v>17417.818</v>
      </c>
      <c r="G54" s="85" t="n">
        <v>20962.953</v>
      </c>
      <c r="H54" s="85" t="n">
        <v>30944.741</v>
      </c>
      <c r="I54" s="85" t="n">
        <v>46864.047</v>
      </c>
      <c r="J54" s="86" t="inlineStr">
        <is>
          <t>TM 9.3/10(iii) BCTC HN 2020-2025 (chiếm 1,21% - 2,37% dư nợ)</t>
        </is>
      </c>
    </row>
    <row r="55" ht="20.1" customHeight="1">
      <c r="A55" s="83" t="inlineStr">
        <is>
          <t>TM 9(iii)</t>
        </is>
      </c>
      <c r="B55" s="84" t="inlineStr">
        <is>
          <t>Dư nợ ngành Xây dựng</t>
        </is>
      </c>
      <c r="C55" s="83" t="inlineStr">
        <is>
          <t>tỷ</t>
        </is>
      </c>
      <c r="D55" s="85" t="n">
        <v>74069.66800000001</v>
      </c>
      <c r="E55" s="85" t="n">
        <v>78205.238</v>
      </c>
      <c r="F55" s="85" t="n">
        <v>82854.414</v>
      </c>
      <c r="G55" s="85" t="n">
        <v>85002.85799999999</v>
      </c>
      <c r="H55" s="85" t="n">
        <v>85840.224</v>
      </c>
      <c r="I55" s="85" t="n">
        <v>87733.677</v>
      </c>
      <c r="J55" s="86" t="inlineStr">
        <is>
          <t>TM 9.3/10(iii) BCTC HN 2020-2025 (chiếm 4,44% - 6,10% dư nợ)</t>
        </is>
      </c>
    </row>
    <row r="56" ht="20.1" customHeight="1">
      <c r="A56" s="83" t="inlineStr">
        <is>
          <t>TM 9(iv)</t>
        </is>
      </c>
      <c r="B56" s="84" t="inlineStr">
        <is>
          <t>Dư nợ Cho vay cá nhân và hộ gia đình</t>
        </is>
      </c>
      <c r="C56" s="83" t="inlineStr">
        <is>
          <t>tỷ</t>
        </is>
      </c>
      <c r="D56" s="85" t="n">
        <v>838618.208</v>
      </c>
      <c r="E56" s="85" t="n">
        <v>910324.564</v>
      </c>
      <c r="F56" s="85" t="n">
        <v>1031470.509</v>
      </c>
      <c r="G56" s="85" t="n">
        <v>1127715.436</v>
      </c>
      <c r="H56" s="85" t="n">
        <v>1271822.234</v>
      </c>
      <c r="I56" s="85" t="n">
        <v>1477695.54</v>
      </c>
      <c r="J56" s="86" t="inlineStr">
        <is>
          <t>TM 9.4/10(iv) BCTC HN 2020-2025 (chiếm 69,1% - 74,8% dư nợ)</t>
        </is>
      </c>
    </row>
    <row r="57" ht="20.1" customHeight="1">
      <c r="A57" s="79" t="inlineStr">
        <is>
          <t>BCTN</t>
        </is>
      </c>
      <c r="B57" s="80" t="inlineStr">
        <is>
          <t>Tỷ trọng dư nợ Nông nghiệp - Nông thôn ('Tam nông') / Dư nợ nền KT</t>
        </is>
      </c>
      <c r="C57" s="79" t="inlineStr">
        <is>
          <t>%</t>
        </is>
      </c>
      <c r="D57" s="91" t="inlineStr">
        <is>
          <t>~70%</t>
        </is>
      </c>
      <c r="E57" s="91" t="inlineStr">
        <is>
          <t>65–70%</t>
        </is>
      </c>
      <c r="F57" s="91" t="inlineStr">
        <is>
          <t>&gt;65%</t>
        </is>
      </c>
      <c r="G57" s="91" t="n">
        <v>0.627</v>
      </c>
      <c r="H57" s="91" t="n">
        <v>0.617</v>
      </c>
      <c r="I57" s="91" t="n">
        <v>0.641</v>
      </c>
      <c r="J57" s="82" t="inlineStr">
        <is>
          <t>BCTN 2020–2022 công bố khoảng (~70%, 65-70%, &gt;65%); BCTN 2023–2025 công bố chính xác: 62,7%; 61,7%; 64,1%</t>
        </is>
      </c>
    </row>
    <row r="58" ht="20.1" customHeight="1">
      <c r="A58" s="79" t="inlineStr">
        <is>
          <t>BCTN</t>
        </is>
      </c>
      <c r="B58" s="80" t="inlineStr">
        <is>
          <t>Hệ số CAR công bố tại BCTN (2020–2022: TT 22/2019; 2023–2025: TT 41/2016)</t>
        </is>
      </c>
      <c r="C58" s="79" t="inlineStr">
        <is>
          <t>%</t>
        </is>
      </c>
      <c r="D58" s="88" t="n">
        <v>0.1058</v>
      </c>
      <c r="E58" s="88" t="n">
        <v>0.105</v>
      </c>
      <c r="F58" s="88" t="n">
        <v>0.108</v>
      </c>
      <c r="G58" s="88" t="n">
        <v>0.092</v>
      </c>
      <c r="H58" s="88" t="n">
        <v>0.1136</v>
      </c>
      <c r="I58" s="88" t="n">
        <v>0.1022</v>
      </c>
      <c r="J58" s="82" t="inlineStr">
        <is>
          <t>BCTN 2024 (tr.16 PDF) &amp; BCTN 2025 (tr.21 PDF)</t>
        </is>
      </c>
    </row>
    <row r="59" ht="20.1" customHeight="1">
      <c r="A59" s="83" t="inlineStr">
        <is>
          <t>BCTN</t>
        </is>
      </c>
      <c r="B59" s="84" t="inlineStr">
        <is>
          <t>Hệ số CAR riêng lẻ từng năm (2020–2022: TT 22/2019; từ 2023: TT 41/2016)</t>
        </is>
      </c>
      <c r="C59" s="83" t="inlineStr">
        <is>
          <t>%</t>
        </is>
      </c>
      <c r="D59" s="90" t="n">
        <v>0.103</v>
      </c>
      <c r="E59" s="90" t="n">
        <v>0.102</v>
      </c>
      <c r="F59" s="90" t="n">
        <v>0.106</v>
      </c>
      <c r="G59" s="90" t="n">
        <v>0.0915</v>
      </c>
      <c r="H59" s="90" t="n">
        <v>0.1135</v>
      </c>
      <c r="I59" s="90" t="n">
        <v>0.1022</v>
      </c>
      <c r="J59" s="86" t="inlineStr">
        <is>
          <t>BCTN 2020 (10,3%), 2021 (10,2%), 2022 (10,6%), 2023 (&gt;9,0% / 9,15%), 2024 (11,35%), 2025 (10,22%)</t>
        </is>
      </c>
    </row>
    <row r="60" ht="20.1" customHeight="1">
      <c r="A60" s="83" t="inlineStr">
        <is>
          <t>BCTN</t>
        </is>
      </c>
      <c r="B60" s="84" t="inlineStr">
        <is>
          <t>Dư nợ cơ cấu giữ nguyên nhóm nợ theo TT 02/2023 (xác nhận tại BCTN 2023)</t>
        </is>
      </c>
      <c r="C60" s="83" t="inlineStr">
        <is>
          <t>tỷ</t>
        </is>
      </c>
      <c r="D60" s="115" t="n">
        <v>0</v>
      </c>
      <c r="E60" s="115" t="n">
        <v>0</v>
      </c>
      <c r="F60" s="85" t="n">
        <v>0</v>
      </c>
      <c r="G60" s="85" t="n">
        <v>37876</v>
      </c>
      <c r="H60" s="85" t="n">
        <v>0</v>
      </c>
      <c r="I60" s="115" t="n">
        <v>0</v>
      </c>
      <c r="J60" s="86" t="inlineStr">
        <is>
          <t>BCTN 2023 (tr.39): 37.876 tỷ / 4.249 KH; cuối 2024 hết hạn TT02 (trích đủ 100% DP); 2025 cơ cấu TT53 Yagi không công bố số dư</t>
        </is>
      </c>
    </row>
    <row r="61" ht="20.1" customHeight="1">
      <c r="A61" s="83" t="inlineStr">
        <is>
          <t>BCTN</t>
        </is>
      </c>
      <c r="B61" s="84" t="inlineStr">
        <is>
          <t>Dư nợ cơ cấu giữ nguyên nhóm nợ theo TT 01/2020, 03/2021, 14/2021</t>
        </is>
      </c>
      <c r="C61" s="83" t="inlineStr">
        <is>
          <t>tỷ</t>
        </is>
      </c>
      <c r="D61" s="115" t="n">
        <v>33700</v>
      </c>
      <c r="E61" s="115" t="n">
        <v>21400</v>
      </c>
      <c r="F61" s="85" t="n">
        <v>0</v>
      </c>
      <c r="G61" s="85" t="n">
        <v>0</v>
      </c>
      <c r="H61" s="85" t="n">
        <v>0</v>
      </c>
      <c r="I61" s="85" t="n">
        <v>0</v>
      </c>
      <c r="J61" s="86" t="inlineStr">
        <is>
          <t>BCTN 2021 (tr.41): cơ cấu cho gần 17.000 KH (không công bố số dư tuyệt đối); chấm dứt sau 30/6/2022 (BCTN 2022 tr.8)</t>
        </is>
      </c>
    </row>
    <row r="62">
      <c r="A62" s="116" t="inlineStr">
        <is>
          <t>B02-HN</t>
        </is>
      </c>
      <c r="B62" s="116" t="inlineStr">
        <is>
          <t>Dư nợ cho vay khách hàng gộp năm 2019 (TM 9 BCTC HN 2020 Deloitte)</t>
        </is>
      </c>
      <c r="C62" s="117" t="inlineStr">
        <is>
          <t>tỷ</t>
        </is>
      </c>
      <c r="D62" s="118" t="n">
        <v>1123403.404</v>
      </c>
      <c r="E62" s="119" t="n"/>
      <c r="F62" s="119" t="n"/>
      <c r="G62" s="119" t="n"/>
      <c r="H62" s="119" t="n"/>
      <c r="I62" s="119" t="n"/>
      <c r="J62" s="120" t="inlineStr">
        <is>
          <t>TM 9 BCTC HN 2020 kiểm toán Deloitte (tr.7, Mẫu B02/TCTD-HN cột 31/12/2019: 1.123.403.404 triệu VND)</t>
        </is>
      </c>
    </row>
    <row r="63">
      <c r="A63" s="136" t="inlineStr">
        <is>
          <t>TM 9.2</t>
        </is>
      </c>
      <c r="B63" s="136" t="inlineStr">
        <is>
          <t>Nợ xấu nhóm 3–5 hợp nhất năm 2019 (TM 9.2 BCTC HN 2020 Deloitte)</t>
        </is>
      </c>
      <c r="C63" s="137" t="inlineStr">
        <is>
          <t>tỷ</t>
        </is>
      </c>
      <c r="D63" s="138" t="n">
        <v>17845.879</v>
      </c>
      <c r="E63" s="139" t="n"/>
      <c r="F63" s="139" t="n"/>
      <c r="G63" s="139" t="n"/>
      <c r="H63" s="139" t="n"/>
      <c r="I63" s="139" t="n"/>
      <c r="J63" s="140" t="inlineStr">
        <is>
          <t>TM 9.2 BCTC HN 2020 kiểm toán Deloitte (tr.36: N3=3.371,274 tỷ; N4=1.976,000 tỷ; N5=12.498,605 tỷ; NPL=1,59%)</t>
        </is>
      </c>
    </row>
    <row r="64">
      <c r="A64" s="136" t="inlineStr">
        <is>
          <t>TM 9.2</t>
        </is>
      </c>
      <c r="B64" s="136" t="inlineStr">
        <is>
          <t>Nợ cần chú ý (Nhóm 2) năm 2019 (TM 9.2 BCTC HN 2020 Deloitte)</t>
        </is>
      </c>
      <c r="C64" s="137" t="inlineStr">
        <is>
          <t>tỷ</t>
        </is>
      </c>
      <c r="D64" s="138" t="n">
        <v>34162.62</v>
      </c>
      <c r="E64" s="139" t="n"/>
      <c r="F64" s="139" t="n"/>
      <c r="G64" s="139" t="n"/>
      <c r="H64" s="139" t="n"/>
      <c r="I64" s="139" t="n"/>
      <c r="J64" s="140" t="inlineStr">
        <is>
          <t>TM 9.2 BCTC HN 2020 kiểm toán Deloitte (tr.36: Nợ nhóm 2 chiếm 3,05% tổng dư nợ cho vay)</t>
        </is>
      </c>
    </row>
    <row r="65">
      <c r="A65" s="136" t="inlineStr">
        <is>
          <t>TM 10</t>
        </is>
      </c>
      <c r="B65" s="136" t="inlineStr">
        <is>
          <t>Tổng số dư dự phòng rủi ro cho vay khách hàng năm 2019 (TM 10 BCTC 2020)</t>
        </is>
      </c>
      <c r="C65" s="137" t="inlineStr">
        <is>
          <t>tỷ</t>
        </is>
      </c>
      <c r="D65" s="138" t="n">
        <v>19850.708</v>
      </c>
      <c r="E65" s="139" t="n"/>
      <c r="F65" s="139" t="n"/>
      <c r="G65" s="139" t="n"/>
      <c r="H65" s="139" t="n"/>
      <c r="I65" s="139" t="n"/>
      <c r="J65" s="140" t="inlineStr">
        <is>
          <t>TM 10 BCTC HN 2020 kiểm toán Deloitte (tr.35: DPCU=11.725,821 tỷ; DPCH=8.124,887 tỷ; LLCR 2019 = 111,2%)</t>
        </is>
      </c>
    </row>
    <row r="66">
      <c r="A66" s="136" t="inlineStr">
        <is>
          <t>TM 30</t>
        </is>
      </c>
      <c r="B66" s="136" t="inlineStr">
        <is>
          <t>Thu từ các khoản nợ đã xử lý rủi ro năm 2019 (TM 30 BCTC HN 2020 Deloitte)</t>
        </is>
      </c>
      <c r="C66" s="137" t="inlineStr">
        <is>
          <t>tỷ</t>
        </is>
      </c>
      <c r="D66" s="138" t="n">
        <v>11535.327</v>
      </c>
      <c r="E66" s="139" t="n"/>
      <c r="F66" s="139" t="n"/>
      <c r="G66" s="139" t="n"/>
      <c r="H66" s="139" t="n"/>
      <c r="I66" s="139" t="n"/>
      <c r="J66" s="140" t="inlineStr">
        <is>
          <t>TM 30 BCTC HN 2020 kiểm toán Deloitte (tr.58: Thu nợ gốc=9.525,849 tỷ; Thu lãi=2.009,478 tỷ)</t>
        </is>
      </c>
    </row>
    <row r="67">
      <c r="A67" s="136" t="inlineStr">
        <is>
          <t>B03-HN</t>
        </is>
      </c>
      <c r="B67" s="136" t="inlineStr">
        <is>
          <t>Chi phí dự phòng rủi ro tín dụng năm 2019 (Báo cáo KQKD HN 2020 Deloitte)</t>
        </is>
      </c>
      <c r="C67" s="137" t="inlineStr">
        <is>
          <t>tỷ</t>
        </is>
      </c>
      <c r="D67" s="138" t="n">
        <v>20643.405</v>
      </c>
      <c r="E67" s="139" t="n"/>
      <c r="F67" s="139" t="n"/>
      <c r="G67" s="139" t="n"/>
      <c r="H67" s="139" t="n"/>
      <c r="I67" s="139" t="n"/>
      <c r="J67" s="140" t="inlineStr">
        <is>
          <t>Mẫu B03/TCTD-HN Báo cáo KQKD HN 2020 kiểm toán Deloitte (tr.10, cột năm trước: 20.643.405 triệu VND)</t>
        </is>
      </c>
    </row>
    <row r="68">
      <c r="A68" s="136" t="inlineStr">
        <is>
          <t>B03-HN</t>
        </is>
      </c>
      <c r="B68" s="136" t="inlineStr">
        <is>
          <t>Tổng lợi nhuận trước thuế năm 2019 (Báo cáo KQKD HN 2020 Deloitte)</t>
        </is>
      </c>
      <c r="C68" s="137" t="inlineStr">
        <is>
          <t>tỷ</t>
        </is>
      </c>
      <c r="D68" s="138" t="n">
        <v>13933.949</v>
      </c>
      <c r="E68" s="139" t="n"/>
      <c r="F68" s="139" t="n"/>
      <c r="G68" s="139" t="n"/>
      <c r="H68" s="139" t="n"/>
      <c r="I68" s="139" t="n"/>
      <c r="J68" s="140" t="inlineStr">
        <is>
          <t>Mẫu B03/TCTD-HN Báo cáo KQKD HN 2020 kiểm toán Deloitte (tr.10, cột năm trước: 13.933.949 triệu VND)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12" customWidth="1" min="1" max="1"/>
    <col width="52" customWidth="1" min="2" max="2"/>
    <col width="8" customWidth="1" min="3" max="3"/>
    <col width="14" customWidth="1" min="4" max="9"/>
    <col width="58" customWidth="1" min="10" max="10"/>
  </cols>
  <sheetData>
    <row r="1" ht="16.5" customHeight="1">
      <c r="A1" s="73" t="inlineStr">
        <is>
          <t>BẢNG DỮ LIỆU GỐC TRÍCH XUẤT BCTC KIỂM TOÁN &amp; BCTN MBBANK (2020–2025)</t>
        </is>
      </c>
    </row>
    <row r="2">
      <c r="A2" s="74" t="inlineStr">
        <is>
          <t>Đơn vị: Tỷ đồng (Quy đổi chính xác từ Triệu VND trên BCTC Kiểm toán). Liên kết tự động sang sheet Du_lieu, Chi_tieu, Stress_Testing, IFRS9_Simulation.</t>
        </is>
      </c>
    </row>
    <row r="4" ht="26.1" customHeight="1">
      <c r="A4" s="75" t="inlineStr">
        <is>
          <t>Mã TM</t>
        </is>
      </c>
      <c r="B4" s="76" t="inlineStr">
        <is>
          <t>Chỉ tiêu Báo cáo Tài chính &amp; Thuyết minh Kiểm toán</t>
        </is>
      </c>
      <c r="C4" s="75" t="inlineStr">
        <is>
          <t>Đơn vị</t>
        </is>
      </c>
      <c r="D4" s="75" t="inlineStr">
        <is>
          <t>2020</t>
        </is>
      </c>
      <c r="E4" s="75" t="inlineStr">
        <is>
          <t>2021</t>
        </is>
      </c>
      <c r="F4" s="75" t="inlineStr">
        <is>
          <t>2022</t>
        </is>
      </c>
      <c r="G4" s="75" t="inlineStr">
        <is>
          <t>2023</t>
        </is>
      </c>
      <c r="H4" s="75" t="inlineStr">
        <is>
          <t>2024</t>
        </is>
      </c>
      <c r="I4" s="75" t="inlineStr">
        <is>
          <t>2025</t>
        </is>
      </c>
      <c r="J4" s="76" t="inlineStr">
        <is>
          <t>Trích dẫn File PDF gốc, Thuyết minh &amp; Trang</t>
        </is>
      </c>
    </row>
    <row r="5" ht="21.95" customHeight="1">
      <c r="A5" s="77" t="inlineStr">
        <is>
          <t>I</t>
        </is>
      </c>
      <c r="B5" s="77" t="inlineStr">
        <is>
          <t>BẢNG CÂN ĐỐI KẾ TOÁN (HỢP NHẤT &amp; RIÊNG LẺ)</t>
        </is>
      </c>
      <c r="C5" s="78" t="n"/>
      <c r="D5" s="78" t="n"/>
      <c r="E5" s="78" t="n"/>
      <c r="F5" s="78" t="n"/>
      <c r="G5" s="78" t="n"/>
      <c r="H5" s="78" t="n"/>
      <c r="I5" s="78" t="n"/>
      <c r="J5" s="78" t="n"/>
    </row>
    <row r="6" ht="20.1" customHeight="1">
      <c r="A6" s="79" t="inlineStr">
        <is>
          <t>B02-HN</t>
        </is>
      </c>
      <c r="B6" s="80" t="inlineStr">
        <is>
          <t>Tổng tài sản Có (Hợp nhất)</t>
        </is>
      </c>
      <c r="C6" s="79" t="inlineStr">
        <is>
          <t>tỷ</t>
        </is>
      </c>
      <c r="D6" s="81" t="n">
        <v>494982.162</v>
      </c>
      <c r="E6" s="81" t="n">
        <v>607140.419</v>
      </c>
      <c r="F6" s="81" t="n">
        <v>728532.373</v>
      </c>
      <c r="G6" s="81" t="n">
        <v>944953.64</v>
      </c>
      <c r="H6" s="81" t="n">
        <v>1128801.062</v>
      </c>
      <c r="I6" s="81" t="n">
        <v>1615763.927</v>
      </c>
      <c r="J6" s="82" t="inlineStr">
        <is>
          <t>B02/TCTD-HN: BCTN 2020 (tr.129), 2021 (tr.177), 2022 (tr.197), BCTC HN 2024 (tr.6), BCTN 2025 (tr.279)</t>
        </is>
      </c>
    </row>
    <row r="7" ht="20.1" customHeight="1">
      <c r="A7" s="83" t="inlineStr">
        <is>
          <t>B02-RL</t>
        </is>
      </c>
      <c r="B7" s="84" t="inlineStr">
        <is>
          <t>Tổng tài sản Có (Riêng lẻ - Ngân hàng mẹ)</t>
        </is>
      </c>
      <c r="C7" s="83" t="inlineStr">
        <is>
          <t>tỷ</t>
        </is>
      </c>
      <c r="D7" s="85" t="n">
        <v>477839.594</v>
      </c>
      <c r="E7" s="85" t="n">
        <v>577009.653</v>
      </c>
      <c r="F7" s="85" t="n">
        <v>690664.584</v>
      </c>
      <c r="G7" s="85" t="n">
        <v>902044.947</v>
      </c>
      <c r="H7" s="85" t="n">
        <v>1067158.251</v>
      </c>
      <c r="I7" s="85" t="n">
        <v>1528579.205</v>
      </c>
      <c r="J7" s="86" t="inlineStr">
        <is>
          <t>B02/TCTD Riêng lẻ: BCTC Riêng 2021 (tr.6), 2022 (tr.6), 2024 (tr.6), 2025 (tr.6)</t>
        </is>
      </c>
    </row>
    <row r="8" ht="20.1" customHeight="1">
      <c r="A8" s="79" t="inlineStr">
        <is>
          <t>TM 10/9</t>
        </is>
      </c>
      <c r="B8" s="80" t="inlineStr">
        <is>
          <t>Cho vay khách hàng gộp (Hợp nhất)</t>
        </is>
      </c>
      <c r="C8" s="79" t="inlineStr">
        <is>
          <t>tỷ</t>
        </is>
      </c>
      <c r="D8" s="81">
        <f>D22</f>
        <v/>
      </c>
      <c r="E8" s="81">
        <f>E22</f>
        <v/>
      </c>
      <c r="F8" s="81">
        <f>F22</f>
        <v/>
      </c>
      <c r="G8" s="81">
        <f>G22</f>
        <v/>
      </c>
      <c r="H8" s="81">
        <f>H22</f>
        <v/>
      </c>
      <c r="I8" s="81">
        <f>I22</f>
        <v/>
      </c>
      <c r="J8" s="82" t="inlineStr">
        <is>
          <t>TM 10 BCTC HN 2020-2024, TM 9 BCTC HN 2025</t>
        </is>
      </c>
    </row>
    <row r="9" ht="20.1" customHeight="1">
      <c r="A9" s="83" t="inlineStr">
        <is>
          <t>TM 10/9</t>
        </is>
      </c>
      <c r="B9" s="84" t="inlineStr">
        <is>
          <t>Cho vay khách hàng gộp (Riêng lẻ - Ngân hàng mẹ)</t>
        </is>
      </c>
      <c r="C9" s="83" t="inlineStr">
        <is>
          <t>tỷ</t>
        </is>
      </c>
      <c r="D9" s="87">
        <f>D28</f>
        <v/>
      </c>
      <c r="E9" s="87">
        <f>E28</f>
        <v/>
      </c>
      <c r="F9" s="87">
        <f>F28</f>
        <v/>
      </c>
      <c r="G9" s="87">
        <f>G28</f>
        <v/>
      </c>
      <c r="H9" s="87">
        <f>H28</f>
        <v/>
      </c>
      <c r="I9" s="87">
        <f>I28</f>
        <v/>
      </c>
      <c r="J9" s="86" t="inlineStr">
        <is>
          <t>TM 10 BCTC Riêng 2021-2024, TM 9 BCTC Riêng 2025</t>
        </is>
      </c>
    </row>
    <row r="10" ht="20.1" customHeight="1">
      <c r="A10" s="79" t="inlineStr">
        <is>
          <t>TM 11/10</t>
        </is>
      </c>
      <c r="B10" s="80" t="inlineStr">
        <is>
          <t>Dự phòng rủi ro cho vay khách hàng (Hợp nhất)</t>
        </is>
      </c>
      <c r="C10" s="79" t="inlineStr">
        <is>
          <t>tỷ</t>
        </is>
      </c>
      <c r="D10" s="81">
        <f>D33</f>
        <v/>
      </c>
      <c r="E10" s="81">
        <f>E33</f>
        <v/>
      </c>
      <c r="F10" s="81">
        <f>F33</f>
        <v/>
      </c>
      <c r="G10" s="81">
        <f>G33</f>
        <v/>
      </c>
      <c r="H10" s="81">
        <f>H33</f>
        <v/>
      </c>
      <c r="I10" s="81">
        <f>I33</f>
        <v/>
      </c>
      <c r="J10" s="82" t="inlineStr">
        <is>
          <t>TM 11 BCTC HN 2020-2024, TM 10 BCTC HN 2025</t>
        </is>
      </c>
    </row>
    <row r="11" ht="20.1" customHeight="1">
      <c r="A11" s="83" t="inlineStr">
        <is>
          <t>TM 11/10</t>
        </is>
      </c>
      <c r="B11" s="84" t="inlineStr">
        <is>
          <t>Dự phòng rủi ro cho vay khách hàng (Riêng lẻ)</t>
        </is>
      </c>
      <c r="C11" s="83" t="inlineStr">
        <is>
          <t>tỷ</t>
        </is>
      </c>
      <c r="D11" s="85" t="n">
        <v>4128.256</v>
      </c>
      <c r="E11" s="85" t="n">
        <v>8118.66</v>
      </c>
      <c r="F11" s="85" t="n">
        <v>10706.62</v>
      </c>
      <c r="G11" s="85" t="n">
        <v>9383.404</v>
      </c>
      <c r="H11" s="85" t="n">
        <v>9920.824000000001</v>
      </c>
      <c r="I11" s="85" t="n">
        <v>11632.139</v>
      </c>
      <c r="J11" s="86" t="inlineStr">
        <is>
          <t>TM 11 BCTC Riêng 2021 (tr.33), 2022 (tr.35), 2024 (tr.39), TM 10 2025 (tr.34)</t>
        </is>
      </c>
    </row>
    <row r="12" ht="20.1" customHeight="1">
      <c r="A12" s="83" t="inlineStr">
        <is>
          <t>TM 12/13</t>
        </is>
      </c>
      <c r="B12" s="84" t="inlineStr">
        <is>
          <t>Chứng khoán đầu tư thuần (Hợp nhất)</t>
        </is>
      </c>
      <c r="C12" s="83" t="inlineStr">
        <is>
          <t>tỷ</t>
        </is>
      </c>
      <c r="D12" s="85" t="n">
        <v>99713.64599999999</v>
      </c>
      <c r="E12" s="85" t="n">
        <v>128806.244</v>
      </c>
      <c r="F12" s="85" t="n">
        <v>159580.028</v>
      </c>
      <c r="G12" s="85" t="n">
        <v>147923.205</v>
      </c>
      <c r="H12" s="85" t="n">
        <v>209637.377</v>
      </c>
      <c r="I12" s="85" t="n">
        <v>225574.85</v>
      </c>
      <c r="J12" s="86" t="inlineStr">
        <is>
          <t>B02/TCTD-HN Mục VIII (AFS + HTM - Dự phòng CKĐT)</t>
        </is>
      </c>
    </row>
    <row r="13" ht="20.1" customHeight="1">
      <c r="A13" s="83" t="inlineStr">
        <is>
          <t>TM 12/11</t>
        </is>
      </c>
      <c r="B13" s="84" t="inlineStr">
        <is>
          <t>Hoạt động mua nợ thuần (Hợp nhất)</t>
        </is>
      </c>
      <c r="C13" s="83" t="inlineStr">
        <is>
          <t>tỷ</t>
        </is>
      </c>
      <c r="D13" s="85" t="n">
        <v>0</v>
      </c>
      <c r="E13" s="85" t="n">
        <v>1.766</v>
      </c>
      <c r="F13" s="85" t="n">
        <v>1006.733</v>
      </c>
      <c r="G13" s="85" t="n">
        <v>1789.868</v>
      </c>
      <c r="H13" s="85" t="n">
        <v>951.509</v>
      </c>
      <c r="I13" s="85" t="n">
        <v>2443.895</v>
      </c>
      <c r="J13" s="86" t="inlineStr">
        <is>
          <t>B02/TCTD-HN Mục VII</t>
        </is>
      </c>
    </row>
    <row r="14" ht="20.1" customHeight="1">
      <c r="A14" s="83" t="inlineStr">
        <is>
          <t>TM 20</t>
        </is>
      </c>
      <c r="B14" s="84" t="inlineStr">
        <is>
          <t>Tiền gửi của khách hàng (Hợp nhất)</t>
        </is>
      </c>
      <c r="C14" s="83" t="inlineStr">
        <is>
          <t>tỷ</t>
        </is>
      </c>
      <c r="D14" s="85" t="n">
        <v>310960.354</v>
      </c>
      <c r="E14" s="85" t="n">
        <v>384692.155</v>
      </c>
      <c r="F14" s="85" t="n">
        <v>443605.638</v>
      </c>
      <c r="G14" s="85" t="n">
        <v>567532.577</v>
      </c>
      <c r="H14" s="85" t="n">
        <v>714154.4790000001</v>
      </c>
      <c r="I14" s="85" t="n">
        <v>921368.132</v>
      </c>
      <c r="J14" s="86" t="inlineStr">
        <is>
          <t>B02/TCTD-HN Mục III (Nợ phải trả)</t>
        </is>
      </c>
    </row>
    <row r="15" ht="20.1" customHeight="1">
      <c r="A15" s="79" t="inlineStr">
        <is>
          <t>TM 25</t>
        </is>
      </c>
      <c r="B15" s="80" t="inlineStr">
        <is>
          <t>Tổng Vốn chủ sở hữu (Hợp nhất)</t>
        </is>
      </c>
      <c r="C15" s="79" t="inlineStr">
        <is>
          <t>tỷ</t>
        </is>
      </c>
      <c r="D15" s="81" t="n">
        <v>50099.495</v>
      </c>
      <c r="E15" s="81" t="n">
        <v>62486.023</v>
      </c>
      <c r="F15" s="81" t="n">
        <v>79613.219</v>
      </c>
      <c r="G15" s="81" t="n">
        <v>96711.159</v>
      </c>
      <c r="H15" s="81" t="n">
        <v>117059.581</v>
      </c>
      <c r="I15" s="81" t="n">
        <v>142022.525</v>
      </c>
      <c r="J15" s="82" t="inlineStr">
        <is>
          <t>B02/TCTD-HN Mục VIII (Vốn và các quỹ)</t>
        </is>
      </c>
    </row>
    <row r="16" ht="21.95" customHeight="1">
      <c r="A16" s="77" t="inlineStr">
        <is>
          <t>II</t>
        </is>
      </c>
      <c r="B16" s="77" t="inlineStr">
        <is>
          <t>PHÂN TÍCH CHẤT LƯỢNG NỢ CHO VAY HỢP NHẤT &amp; RIÊNG LẺ (TM 10.1 / 9.1)</t>
        </is>
      </c>
      <c r="C16" s="78" t="n"/>
      <c r="D16" s="78" t="n"/>
      <c r="E16" s="78" t="n"/>
      <c r="F16" s="78" t="n"/>
      <c r="G16" s="78" t="n"/>
      <c r="H16" s="78" t="n"/>
      <c r="I16" s="78" t="n"/>
      <c r="J16" s="78" t="n"/>
    </row>
    <row r="17" ht="20.1" customHeight="1">
      <c r="A17" s="83" t="inlineStr">
        <is>
          <t>TM 10.1</t>
        </is>
      </c>
      <c r="B17" s="84" t="inlineStr">
        <is>
          <t>Nhóm 1 - Nợ đủ tiêu chuẩn (Hợp nhất, gồm cho vay ký quỹ MBS)</t>
        </is>
      </c>
      <c r="C17" s="83" t="inlineStr">
        <is>
          <t>tỷ</t>
        </is>
      </c>
      <c r="D17" s="85" t="n">
        <v>292627.499</v>
      </c>
      <c r="E17" s="85" t="n">
        <v>356373.794</v>
      </c>
      <c r="F17" s="85" t="n">
        <v>447734.256</v>
      </c>
      <c r="G17" s="85" t="n">
        <v>587326.3050000001</v>
      </c>
      <c r="H17" s="85" t="n">
        <v>751875.632</v>
      </c>
      <c r="I17" s="85" t="n">
        <v>1059781.834</v>
      </c>
      <c r="J17" s="86" t="inlineStr">
        <is>
          <t>TM 10.1 BCTC HN 2020-2024 &amp; TM 9.1 BCTC HN 2025 (Trong đó ký quỹ MBS: 4.123 -&gt; 15.041 tỷ)</t>
        </is>
      </c>
    </row>
    <row r="18" ht="20.1" customHeight="1">
      <c r="A18" s="79" t="inlineStr">
        <is>
          <t>TM 10.1</t>
        </is>
      </c>
      <c r="B18" s="80" t="inlineStr">
        <is>
          <t>Nhóm 2 - Nợ cần chú ý (Hợp nhất)</t>
        </is>
      </c>
      <c r="C18" s="79" t="inlineStr">
        <is>
          <t>tỷ</t>
        </is>
      </c>
      <c r="D18" s="81" t="n">
        <v>2421.678</v>
      </c>
      <c r="E18" s="81" t="n">
        <v>3912.949</v>
      </c>
      <c r="F18" s="81" t="n">
        <v>7808.932</v>
      </c>
      <c r="G18" s="81" t="n">
        <v>13917.867</v>
      </c>
      <c r="H18" s="81" t="n">
        <v>12196.782</v>
      </c>
      <c r="I18" s="81" t="n">
        <v>10210.04</v>
      </c>
      <c r="J18" s="82" t="inlineStr">
        <is>
          <t>TM 10.1 BCTC HN 2020 (tr.159), 2021 (tr.209), 2022 (tr.234), 2024 (tr.38), TM 9.1 2025 (tr.311)</t>
        </is>
      </c>
    </row>
    <row r="19" ht="20.1" customHeight="1">
      <c r="A19" s="83" t="inlineStr">
        <is>
          <t>TM 10.1</t>
        </is>
      </c>
      <c r="B19" s="84" t="inlineStr">
        <is>
          <t>Nhóm 3 - Nợ dưới tiêu chuẩn (Hợp nhất)</t>
        </is>
      </c>
      <c r="C19" s="83" t="inlineStr">
        <is>
          <t>tỷ</t>
        </is>
      </c>
      <c r="D19" s="85" t="n">
        <v>889.758</v>
      </c>
      <c r="E19" s="85" t="n">
        <v>1433.433</v>
      </c>
      <c r="F19" s="85" t="n">
        <v>1517.212</v>
      </c>
      <c r="G19" s="85" t="n">
        <v>3210.741</v>
      </c>
      <c r="H19" s="85" t="n">
        <v>3379.646</v>
      </c>
      <c r="I19" s="85" t="n">
        <v>3276.216</v>
      </c>
      <c r="J19" s="86" t="inlineStr">
        <is>
          <t>TM 10.1 BCTC HN 2020-2024 &amp; TM 9.1 BCTC HN 2025</t>
        </is>
      </c>
    </row>
    <row r="20" ht="20.1" customHeight="1">
      <c r="A20" s="83" t="inlineStr">
        <is>
          <t>TM 10.1</t>
        </is>
      </c>
      <c r="B20" s="84" t="inlineStr">
        <is>
          <t>Nhóm 4 - Nợ nghi ngờ (Hợp nhất)</t>
        </is>
      </c>
      <c r="C20" s="83" t="inlineStr">
        <is>
          <t>tỷ</t>
        </is>
      </c>
      <c r="D20" s="85" t="n">
        <v>973.564</v>
      </c>
      <c r="E20" s="85" t="n">
        <v>1015.111</v>
      </c>
      <c r="F20" s="85" t="n">
        <v>1220.77</v>
      </c>
      <c r="G20" s="85" t="n">
        <v>3704.226</v>
      </c>
      <c r="H20" s="85" t="n">
        <v>4599.274</v>
      </c>
      <c r="I20" s="85" t="n">
        <v>4330.016</v>
      </c>
      <c r="J20" s="86" t="inlineStr">
        <is>
          <t>TM 10.1 BCTC HN 2020-2024 &amp; TM 9.1 BCTC HN 2025</t>
        </is>
      </c>
    </row>
    <row r="21" ht="20.1" customHeight="1">
      <c r="A21" s="79" t="inlineStr">
        <is>
          <t>TM 10.1</t>
        </is>
      </c>
      <c r="B21" s="80" t="inlineStr">
        <is>
          <t>Nhóm 5 - Nợ có khả năng mất vốn (Hợp nhất)</t>
        </is>
      </c>
      <c r="C21" s="79" t="inlineStr">
        <is>
          <t>tỷ</t>
        </is>
      </c>
      <c r="D21" s="81" t="n">
        <v>1384.484</v>
      </c>
      <c r="E21" s="81" t="n">
        <v>819.491</v>
      </c>
      <c r="F21" s="81" t="n">
        <v>2293.312</v>
      </c>
      <c r="G21" s="81" t="n">
        <v>2889.691</v>
      </c>
      <c r="H21" s="81" t="n">
        <v>4606.512</v>
      </c>
      <c r="I21" s="81" t="n">
        <v>6421.264</v>
      </c>
      <c r="J21" s="82" t="inlineStr">
        <is>
          <t>TM 10.1 BCTC HN 2020-2024 &amp; TM 9.1 BCTC HN 2025</t>
        </is>
      </c>
    </row>
    <row r="22" ht="20.1" customHeight="1">
      <c r="A22" s="79" t="inlineStr">
        <is>
          <t>TM 10.1</t>
        </is>
      </c>
      <c r="B22" s="80" t="inlineStr">
        <is>
          <t>Tổng Dư nợ cho vay khách hàng Hợp nhất (= SUM Nhóm 1..5)</t>
        </is>
      </c>
      <c r="C22" s="79" t="inlineStr">
        <is>
          <t>tỷ</t>
        </is>
      </c>
      <c r="D22" s="81">
        <f>SUM(D17:D21)</f>
        <v/>
      </c>
      <c r="E22" s="81">
        <f>SUM(E17:E21)</f>
        <v/>
      </c>
      <c r="F22" s="81">
        <f>SUM(F17:F21)</f>
        <v/>
      </c>
      <c r="G22" s="81">
        <f>SUM(G17:G21)</f>
        <v/>
      </c>
      <c r="H22" s="81">
        <f>SUM(H17:H21)</f>
        <v/>
      </c>
      <c r="I22" s="81">
        <f>SUM(I17:I21)</f>
        <v/>
      </c>
      <c r="J22" s="82" t="inlineStr">
        <is>
          <t>Khớp 100% chỉ tiêu VI.1 trên Bảng cân đối kế toán Hợp nhất</t>
        </is>
      </c>
    </row>
    <row r="23" ht="20.1" customHeight="1">
      <c r="A23" s="79" t="inlineStr">
        <is>
          <t>TM 10.1</t>
        </is>
      </c>
      <c r="B23" s="80" t="inlineStr">
        <is>
          <t>Tổng Nợ xấu nội bảng Hợp nhất (Nhóm 3 + Nhóm 4 + Nhóm 5)</t>
        </is>
      </c>
      <c r="C23" s="79" t="inlineStr">
        <is>
          <t>tỷ</t>
        </is>
      </c>
      <c r="D23" s="81">
        <f>SUM(D19:D21)</f>
        <v/>
      </c>
      <c r="E23" s="81">
        <f>SUM(E19:E21)</f>
        <v/>
      </c>
      <c r="F23" s="81">
        <f>SUM(F19:F21)</f>
        <v/>
      </c>
      <c r="G23" s="81">
        <f>G19+G20+G21</f>
        <v/>
      </c>
      <c r="H23" s="81">
        <f>SUM(H19:H21)</f>
        <v/>
      </c>
      <c r="I23" s="81">
        <f>SUM(I19:I21)</f>
        <v/>
      </c>
      <c r="J23" s="82" t="inlineStr">
        <is>
          <t>Tổng nợ xấu hợp nhất kiểm toán</t>
        </is>
      </c>
    </row>
    <row r="24" ht="20.1" customHeight="1">
      <c r="A24" s="79" t="inlineStr">
        <is>
          <t>Tỷ lệ</t>
        </is>
      </c>
      <c r="B24" s="80" t="inlineStr">
        <is>
          <t>Tỷ lệ NPL Hợp nhất (= Nợ xấu HN / Dư nợ cho vay HN)</t>
        </is>
      </c>
      <c r="C24" s="79" t="inlineStr">
        <is>
          <t>%</t>
        </is>
      </c>
      <c r="D24" s="88">
        <f>D23/D22</f>
        <v/>
      </c>
      <c r="E24" s="88">
        <f>E23/E22</f>
        <v/>
      </c>
      <c r="F24" s="88">
        <f>F23/F22</f>
        <v/>
      </c>
      <c r="G24" s="88">
        <f>G23/G22</f>
        <v/>
      </c>
      <c r="H24" s="88">
        <f>H23/H22</f>
        <v/>
      </c>
      <c r="I24" s="88">
        <f>I23/I22</f>
        <v/>
      </c>
      <c r="J24" s="82" t="inlineStr">
        <is>
          <t>NPL hợp nhất (không gồm TPDN): 1,09% - 0,90% - 1,09% - 1,60% - 1,62% - 1,29%</t>
        </is>
      </c>
    </row>
    <row r="25" ht="20.1" customHeight="1">
      <c r="A25" s="83" t="inlineStr">
        <is>
          <t>TM 10.1-RL</t>
        </is>
      </c>
      <c r="B25" s="84" t="inlineStr">
        <is>
          <t>Nhóm 1 - Nợ đủ tiêu chuẩn (Riêng lẻ - Ngân hàng mẹ)</t>
        </is>
      </c>
      <c r="C25" s="83" t="inlineStr">
        <is>
          <t>tỷ</t>
        </is>
      </c>
      <c r="D25" s="85" t="n">
        <v>279605.813</v>
      </c>
      <c r="E25" s="85" t="n">
        <v>336767.464</v>
      </c>
      <c r="F25" s="85" t="n">
        <v>426450.065</v>
      </c>
      <c r="G25" s="85" t="n">
        <v>561512.924</v>
      </c>
      <c r="H25" s="85" t="n">
        <v>717557.785</v>
      </c>
      <c r="I25" s="85" t="n">
        <v>1013857.364</v>
      </c>
      <c r="J25" s="86" t="inlineStr">
        <is>
          <t>TM 10.1 BCTC Riêng 2021 (tr.32), 2022 (tr.33), 2024 (tr.37), TM 9.1 2025 (tr.33)</t>
        </is>
      </c>
    </row>
    <row r="26" ht="20.1" customHeight="1">
      <c r="A26" s="83" t="inlineStr">
        <is>
          <t>TM 10.1-RL</t>
        </is>
      </c>
      <c r="B26" s="84" t="inlineStr">
        <is>
          <t>Nhóm 2 - Nợ cần chú ý (Riêng lẻ - Ngân hàng mẹ)</t>
        </is>
      </c>
      <c r="C26" s="83" t="inlineStr">
        <is>
          <t>tỷ</t>
        </is>
      </c>
      <c r="D26" s="85" t="n">
        <v>1795.944</v>
      </c>
      <c r="E26" s="85" t="n">
        <v>2190.055</v>
      </c>
      <c r="F26" s="85" t="n">
        <v>5115.654</v>
      </c>
      <c r="G26" s="85" t="n">
        <v>8228.168</v>
      </c>
      <c r="H26" s="85" t="n">
        <v>6542.954</v>
      </c>
      <c r="I26" s="85" t="n">
        <v>5728.344</v>
      </c>
      <c r="J26" s="86" t="inlineStr">
        <is>
          <t>TM 10.1 BCTC Riêng 2021-2024 &amp; TM 9.1 2025 (Năm 2024 sau ĐC KTNN trên BCTC 2025 là 6.912,70 tỷ)</t>
        </is>
      </c>
    </row>
    <row r="27" ht="20.1" customHeight="1">
      <c r="A27" s="83" t="inlineStr">
        <is>
          <t>TM 10.1-RL</t>
        </is>
      </c>
      <c r="B27" s="84" t="inlineStr">
        <is>
          <t>Tổng Nợ xấu Nhóm 3–5 (Riêng lẻ - Ngân hàng mẹ)</t>
        </is>
      </c>
      <c r="C27" s="83" t="inlineStr">
        <is>
          <t>tỷ</t>
        </is>
      </c>
      <c r="D27" s="85" t="n">
        <v>2598.623</v>
      </c>
      <c r="E27" s="85" t="n">
        <v>2327.978</v>
      </c>
      <c r="F27" s="85" t="n">
        <v>3625.232</v>
      </c>
      <c r="G27" s="85" t="n">
        <v>8121.854</v>
      </c>
      <c r="H27" s="85" t="n">
        <v>10493.355</v>
      </c>
      <c r="I27" s="85" t="n">
        <v>11517.998</v>
      </c>
      <c r="J27" s="86" t="inlineStr">
        <is>
          <t>TM 10.1 BCTC Riêng 2021-2024 &amp; TM 9.1 2025 (Năm 2024 sau ĐC KTNN trên BCTC 2025 là 10.123,61 tỷ)</t>
        </is>
      </c>
    </row>
    <row r="28" ht="20.1" customHeight="1">
      <c r="A28" s="83" t="inlineStr">
        <is>
          <t>TM 10.1-RL</t>
        </is>
      </c>
      <c r="B28" s="84" t="inlineStr">
        <is>
          <t>Tổng Dư nợ cho vay khách hàng Riêng lẻ</t>
        </is>
      </c>
      <c r="C28" s="83" t="inlineStr">
        <is>
          <t>tỷ</t>
        </is>
      </c>
      <c r="D28" s="87">
        <f>D25+D26+D27</f>
        <v/>
      </c>
      <c r="E28" s="87">
        <f>E25+E26+E27</f>
        <v/>
      </c>
      <c r="F28" s="87">
        <f>F25+F26+F27</f>
        <v/>
      </c>
      <c r="G28" s="87">
        <f>G25+G26+G27</f>
        <v/>
      </c>
      <c r="H28" s="87">
        <f>H25+H26+H27</f>
        <v/>
      </c>
      <c r="I28" s="87">
        <f>I25+I26+I27</f>
        <v/>
      </c>
      <c r="J28" s="86" t="inlineStr">
        <is>
          <t>Khớp 100% chỉ tiêu VI.1 trên Bảng cân đối kế toán Riêng lẻ</t>
        </is>
      </c>
    </row>
    <row r="29" ht="20.1" customHeight="1">
      <c r="A29" s="79" t="inlineStr">
        <is>
          <t>Tỷ lệ</t>
        </is>
      </c>
      <c r="B29" s="80" t="inlineStr">
        <is>
          <t>Tỷ lệ NPL Riêng lẻ (= Nợ xấu Riêng / Dư nợ cho vay Riêng)</t>
        </is>
      </c>
      <c r="C29" s="79" t="inlineStr">
        <is>
          <t>%</t>
        </is>
      </c>
      <c r="D29" s="88">
        <f>D27/D28</f>
        <v/>
      </c>
      <c r="E29" s="88">
        <f>E27/E28</f>
        <v/>
      </c>
      <c r="F29" s="88">
        <f>F27/F28</f>
        <v/>
      </c>
      <c r="G29" s="88">
        <f>G27/G28</f>
        <v/>
      </c>
      <c r="H29" s="88">
        <f>H27/H28</f>
        <v/>
      </c>
      <c r="I29" s="88">
        <f>I27/I28</f>
        <v/>
      </c>
      <c r="J29" s="82" t="inlineStr">
        <is>
          <t>NPL riêng ngân hàng mẹ: 0,92% - 0,68% - 0,83% - 1,41% - 1,43% (ĐC: 1,38%) - 1,12%</t>
        </is>
      </c>
    </row>
    <row r="30" ht="21.95" customHeight="1">
      <c r="A30" s="77" t="inlineStr">
        <is>
          <t>III</t>
        </is>
      </c>
      <c r="B30" s="77" t="inlineStr">
        <is>
          <t>BIẾN ĐỘNG DỰ PHÒNG RỦI RO CHO VAY KHÁCH HÀNG (TM 11 / 10)</t>
        </is>
      </c>
      <c r="C30" s="78" t="n"/>
      <c r="D30" s="78" t="n"/>
      <c r="E30" s="78" t="n"/>
      <c r="F30" s="78" t="n"/>
      <c r="G30" s="78" t="n"/>
      <c r="H30" s="78" t="n"/>
      <c r="I30" s="78" t="n"/>
      <c r="J30" s="78" t="n"/>
    </row>
    <row r="31" ht="20.1" customHeight="1">
      <c r="A31" s="83" t="inlineStr">
        <is>
          <t>TM 11/10</t>
        </is>
      </c>
      <c r="B31" s="84" t="inlineStr">
        <is>
          <t>Số dư Dự phòng chung cuối năm (Hợp nhất)</t>
        </is>
      </c>
      <c r="C31" s="83" t="inlineStr">
        <is>
          <t>tỷ</t>
        </is>
      </c>
      <c r="D31" s="85" t="n">
        <v>2148.238</v>
      </c>
      <c r="E31" s="85" t="n">
        <v>2590.776</v>
      </c>
      <c r="F31" s="85" t="n">
        <v>3400.915</v>
      </c>
      <c r="G31" s="85" t="n">
        <v>4551.746</v>
      </c>
      <c r="H31" s="85" t="n">
        <v>5795.573</v>
      </c>
      <c r="I31" s="85" t="n">
        <v>8098.145</v>
      </c>
      <c r="J31" s="86" t="inlineStr">
        <is>
          <t>TM 11 BCTC HN 2020 (tr.161), 2021 (tr.210), 2022 (tr.236), 2024 (tr.39), TM 10 2025 (tr.313)</t>
        </is>
      </c>
    </row>
    <row r="32" ht="20.1" customHeight="1">
      <c r="A32" s="83" t="inlineStr">
        <is>
          <t>TM 11/10</t>
        </is>
      </c>
      <c r="B32" s="84" t="inlineStr">
        <is>
          <t>Số dư Dự phòng cụ thể cuối năm (Hợp nhất)</t>
        </is>
      </c>
      <c r="C32" s="83" t="inlineStr">
        <is>
          <t>tỷ</t>
        </is>
      </c>
      <c r="D32" s="85" t="n">
        <v>2205.981</v>
      </c>
      <c r="E32" s="85" t="n">
        <v>6166.908</v>
      </c>
      <c r="F32" s="85" t="n">
        <v>8574.945</v>
      </c>
      <c r="G32" s="85" t="n">
        <v>6917.817</v>
      </c>
      <c r="H32" s="85" t="n">
        <v>5814.288</v>
      </c>
      <c r="I32" s="85" t="n">
        <v>5052.448</v>
      </c>
      <c r="J32" s="86" t="inlineStr">
        <is>
          <t>TM 11 BCTC HN 2020-2024 &amp; TM 10 BCTC HN 2025</t>
        </is>
      </c>
    </row>
    <row r="33" ht="20.1" customHeight="1">
      <c r="A33" s="79" t="inlineStr">
        <is>
          <t>TM 11/10</t>
        </is>
      </c>
      <c r="B33" s="80" t="inlineStr">
        <is>
          <t>Tổng số dư Dự phòng rủi ro cho vay KH cuối năm (Hợp nhất)</t>
        </is>
      </c>
      <c r="C33" s="79" t="inlineStr">
        <is>
          <t>tỷ</t>
        </is>
      </c>
      <c r="D33" s="81">
        <f>D31+D32</f>
        <v/>
      </c>
      <c r="E33" s="81">
        <f>E31+E32</f>
        <v/>
      </c>
      <c r="F33" s="81">
        <f>F31+F32</f>
        <v/>
      </c>
      <c r="G33" s="81">
        <f>G31+G32</f>
        <v/>
      </c>
      <c r="H33" s="81">
        <f>H31+H32</f>
        <v/>
      </c>
      <c r="I33" s="81">
        <f>I31+I32</f>
        <v/>
      </c>
      <c r="J33" s="82" t="inlineStr">
        <is>
          <t>Tổng quỹ dự phòng rủi ro cho vay KH Hợp nhất = DP chung + DP cụ thể</t>
        </is>
      </c>
    </row>
    <row r="34" ht="20.1" customHeight="1">
      <c r="A34" s="83" t="inlineStr">
        <is>
          <t>TM 11/10</t>
        </is>
      </c>
      <c r="B34" s="84" t="inlineStr">
        <is>
          <t>Trích lập dự phòng rủi ro cho vay KH trong năm (Hợp nhất)</t>
        </is>
      </c>
      <c r="C34" s="83" t="inlineStr">
        <is>
          <t>tỷ</t>
        </is>
      </c>
      <c r="D34" s="85" t="n">
        <v>6139.086</v>
      </c>
      <c r="E34" s="85" t="n">
        <v>7953.801</v>
      </c>
      <c r="F34" s="85" t="n">
        <v>7873.697</v>
      </c>
      <c r="G34" s="85" t="n">
        <v>6114.903</v>
      </c>
      <c r="H34" s="85" t="n">
        <v>9534.768</v>
      </c>
      <c r="I34" s="85" t="n">
        <v>13690.356</v>
      </c>
      <c r="J34" s="86" t="inlineStr">
        <is>
          <t>TM 11 BCTC HN 2020-2024 &amp; TM 10 BCTC HN 2025 (Trích lập DP chung + cụ thể)</t>
        </is>
      </c>
    </row>
    <row r="35" ht="20.1" customHeight="1">
      <c r="A35" s="79" t="inlineStr">
        <is>
          <t>TM 11/10</t>
        </is>
      </c>
      <c r="B35" s="80" t="inlineStr">
        <is>
          <t>Sử dụng dự phòng để xử lý rủi ro trong năm (Nợ xóa - Hợp nhất)</t>
        </is>
      </c>
      <c r="C35" s="79" t="inlineStr">
        <is>
          <t>tỷ</t>
        </is>
      </c>
      <c r="D35" s="81" t="n">
        <v>4980.2</v>
      </c>
      <c r="E35" s="81" t="n">
        <v>3542.937</v>
      </c>
      <c r="F35" s="81" t="n">
        <v>4412.07</v>
      </c>
      <c r="G35" s="81" t="n">
        <v>6622.439</v>
      </c>
      <c r="H35" s="81" t="n">
        <v>9396.915000000001</v>
      </c>
      <c r="I35" s="81" t="n">
        <v>12185.137</v>
      </c>
      <c r="J35" s="82" t="inlineStr">
        <is>
          <t>TM 11 BCTC HN 2020 (tr.161), 2021 (tr.210), 2022 (tr.236), 2024 (tr.39), TM 10 2025 (tr.313)</t>
        </is>
      </c>
    </row>
    <row r="36" ht="20.1" customHeight="1">
      <c r="A36" s="83" t="inlineStr">
        <is>
          <t>TM 11/10-RL</t>
        </is>
      </c>
      <c r="B36" s="84" t="inlineStr">
        <is>
          <t>Sử dụng dự phòng để xử lý rủi ro trong năm (Nợ xóa - Riêng lẻ)</t>
        </is>
      </c>
      <c r="C36" s="83" t="inlineStr">
        <is>
          <t>tỷ</t>
        </is>
      </c>
      <c r="D36" s="85" t="n">
        <v>3363.122</v>
      </c>
      <c r="E36" s="85" t="n">
        <v>2266.385</v>
      </c>
      <c r="F36" s="85" t="n">
        <v>2216.582</v>
      </c>
      <c r="G36" s="85" t="n">
        <v>4331.306</v>
      </c>
      <c r="H36" s="85" t="n">
        <v>5889.319</v>
      </c>
      <c r="I36" s="85" t="n">
        <v>7823.582</v>
      </c>
      <c r="J36" s="86" t="inlineStr">
        <is>
          <t>TM 11 BCTC Riêng 2021 (tr.33), 2022 (tr.35), 2024 (tr.39), TM 10 2025 (tr.34)</t>
        </is>
      </c>
    </row>
    <row r="37" ht="20.1" customHeight="1">
      <c r="A37" s="79" t="inlineStr">
        <is>
          <t>Tỷ lệ</t>
        </is>
      </c>
      <c r="B37" s="80" t="inlineStr">
        <is>
          <t>Tỷ lệ bao phủ nợ xấu Hợp nhất (LLCR = Tổng DPRR HN / Nợ xấu HN)</t>
        </is>
      </c>
      <c r="C37" s="79" t="inlineStr">
        <is>
          <t>%</t>
        </is>
      </c>
      <c r="D37" s="91">
        <f>D33/D23</f>
        <v/>
      </c>
      <c r="E37" s="91">
        <f>E33/E23</f>
        <v/>
      </c>
      <c r="F37" s="91">
        <f>F33/F23</f>
        <v/>
      </c>
      <c r="G37" s="91">
        <f>G33/G23</f>
        <v/>
      </c>
      <c r="H37" s="91">
        <f>H33/H23</f>
        <v/>
      </c>
      <c r="I37" s="91">
        <f>I33/I23</f>
        <v/>
      </c>
      <c r="J37" s="82" t="inlineStr">
        <is>
          <t>LLCR Hợp nhất: 134,1% - 268,0% - 238,0% - 117,0% - 92,3% - 93,8%</t>
        </is>
      </c>
    </row>
    <row r="38" ht="20.1" customHeight="1">
      <c r="A38" s="83" t="inlineStr">
        <is>
          <t>Tỷ lệ</t>
        </is>
      </c>
      <c r="B38" s="84" t="inlineStr">
        <is>
          <t>Tỷ lệ bao phủ nợ xấu Riêng lẻ (LLCR = Tổng DPRR Riêng / Nợ xấu Riêng)</t>
        </is>
      </c>
      <c r="C38" s="83" t="inlineStr">
        <is>
          <t>%</t>
        </is>
      </c>
      <c r="D38" s="92">
        <f>D11/D27</f>
        <v/>
      </c>
      <c r="E38" s="92">
        <f>E11/E27</f>
        <v/>
      </c>
      <c r="F38" s="92">
        <f>F11/F27</f>
        <v/>
      </c>
      <c r="G38" s="92">
        <f>G11/G27</f>
        <v/>
      </c>
      <c r="H38" s="92">
        <f>H11/H27</f>
        <v/>
      </c>
      <c r="I38" s="92">
        <f>I11/I27</f>
        <v/>
      </c>
      <c r="J38" s="86" t="inlineStr">
        <is>
          <t>LLCR Riêng lẻ: 158,9% - 348,7% - 295,3% - 115,5% - 94,5% (ĐC: 98,0%) - 101,0%</t>
        </is>
      </c>
    </row>
    <row r="39" ht="21.95" customHeight="1">
      <c r="A39" s="77" t="inlineStr">
        <is>
          <t>IV</t>
        </is>
      </c>
      <c r="B39" s="77" t="inlineStr">
        <is>
          <t>BÁO CÁO KẾT QUẢ HOẠT ĐỘNG KINH DOANH HỢP NHẤT &amp; THU NỢ XLRR</t>
        </is>
      </c>
      <c r="C39" s="78" t="n"/>
      <c r="D39" s="78" t="n"/>
      <c r="E39" s="78" t="n"/>
      <c r="F39" s="78" t="n"/>
      <c r="G39" s="78" t="n"/>
      <c r="H39" s="78" t="n"/>
      <c r="I39" s="78" t="n"/>
      <c r="J39" s="78" t="n"/>
    </row>
    <row r="40" ht="20.1" customHeight="1">
      <c r="A40" s="83" t="inlineStr">
        <is>
          <t>B03-HN</t>
        </is>
      </c>
      <c r="B40" s="84" t="inlineStr">
        <is>
          <t>Thu nhập lãi thuần (NII - Hợp nhất)</t>
        </is>
      </c>
      <c r="C40" s="83" t="inlineStr">
        <is>
          <t>tỷ</t>
        </is>
      </c>
      <c r="D40" s="85" t="n">
        <v>20277.795</v>
      </c>
      <c r="E40" s="85" t="n">
        <v>26199.554</v>
      </c>
      <c r="F40" s="85" t="n">
        <v>36023.122</v>
      </c>
      <c r="G40" s="85" t="n">
        <v>38683.848</v>
      </c>
      <c r="H40" s="85" t="n">
        <v>41152.219</v>
      </c>
      <c r="I40" s="85" t="n">
        <v>51610.117</v>
      </c>
      <c r="J40" s="86" t="inlineStr">
        <is>
          <t>B03/TCTD-HN 2020-2025</t>
        </is>
      </c>
    </row>
    <row r="41" ht="20.1" customHeight="1">
      <c r="A41" s="83" t="inlineStr">
        <is>
          <t>TM 31/32</t>
        </is>
      </c>
      <c r="B41" s="84" t="inlineStr">
        <is>
          <t>Kết quả thuần từ hoạt động khác (Mục VI KQKD Hợp nhất)</t>
        </is>
      </c>
      <c r="C41" s="83" t="inlineStr">
        <is>
          <t>tỷ</t>
        </is>
      </c>
      <c r="D41" s="85" t="n">
        <v>1679.55</v>
      </c>
      <c r="E41" s="85" t="n">
        <v>3254.314</v>
      </c>
      <c r="F41" s="85" t="n">
        <v>2141.658</v>
      </c>
      <c r="G41" s="85" t="n">
        <v>2428.111</v>
      </c>
      <c r="H41" s="85" t="n">
        <v>3280.82</v>
      </c>
      <c r="I41" s="85" t="n">
        <v>5314.474</v>
      </c>
      <c r="J41" s="86" t="inlineStr">
        <is>
          <t>TM 31 BCTC HN 2020-2022, TM 32 BCTC HN 2024, TM 31 BCTC HN 2025</t>
        </is>
      </c>
    </row>
    <row r="42" ht="20.1" customHeight="1">
      <c r="A42" s="79" t="inlineStr">
        <is>
          <t>TM 31/32</t>
        </is>
      </c>
      <c r="B42" s="80" t="inlineStr">
        <is>
          <t>Trong đó: Thu từ các khoản nợ đã xử lý rủi ro (Hợp nhất)</t>
        </is>
      </c>
      <c r="C42" s="79" t="inlineStr">
        <is>
          <t>tỷ</t>
        </is>
      </c>
      <c r="D42" s="81" t="n">
        <v>1599.755</v>
      </c>
      <c r="E42" s="81" t="n">
        <v>2689.366</v>
      </c>
      <c r="F42" s="81" t="n">
        <v>1648.266</v>
      </c>
      <c r="G42" s="81" t="n">
        <v>1711.016</v>
      </c>
      <c r="H42" s="81" t="n">
        <v>2451.56</v>
      </c>
      <c r="I42" s="81" t="n">
        <v>4141.692</v>
      </c>
      <c r="J42" s="82" t="inlineStr">
        <is>
          <t>TM 31 BCTC HN 2020 (tr.173), 2021 (tr.222), 2022 (tr.249), TM 32 2024 (tr.55), TM 31 2025 (tr.327)</t>
        </is>
      </c>
    </row>
    <row r="43" ht="20.1" customHeight="1">
      <c r="A43" s="79" t="inlineStr">
        <is>
          <t>B03-HN</t>
        </is>
      </c>
      <c r="B43" s="80" t="inlineStr">
        <is>
          <t>Tổng thu nhập hoạt động (TOI - Hợp nhất)</t>
        </is>
      </c>
      <c r="C43" s="79" t="inlineStr">
        <is>
          <t>tỷ</t>
        </is>
      </c>
      <c r="D43" s="81" t="n">
        <v>27362.173</v>
      </c>
      <c r="E43" s="81" t="n">
        <v>36934.498</v>
      </c>
      <c r="F43" s="81" t="n">
        <v>45592.625</v>
      </c>
      <c r="G43" s="81" t="n">
        <v>47306.062</v>
      </c>
      <c r="H43" s="81" t="n">
        <v>55413.222</v>
      </c>
      <c r="I43" s="81" t="n">
        <v>67693.015</v>
      </c>
      <c r="J43" s="82" t="inlineStr">
        <is>
          <t>B03/TCTD-HN 2020-2025</t>
        </is>
      </c>
    </row>
    <row r="44" ht="20.1" customHeight="1">
      <c r="A44" s="83" t="inlineStr">
        <is>
          <t>TM 34/35</t>
        </is>
      </c>
      <c r="B44" s="84" t="inlineStr">
        <is>
          <t>Tổng chi phí hoạt động (OPEX - Hợp nhất)</t>
        </is>
      </c>
      <c r="C44" s="83" t="inlineStr">
        <is>
          <t>tỷ</t>
        </is>
      </c>
      <c r="D44" s="85" t="n">
        <v>10555.457</v>
      </c>
      <c r="E44" s="85" t="n">
        <v>12377.188</v>
      </c>
      <c r="F44" s="85" t="n">
        <v>14815.628</v>
      </c>
      <c r="G44" s="85" t="n">
        <v>14912.941</v>
      </c>
      <c r="H44" s="85" t="n">
        <v>17007.25</v>
      </c>
      <c r="I44" s="85" t="n">
        <v>19681.153</v>
      </c>
      <c r="J44" s="86" t="inlineStr">
        <is>
          <t>B03/TCTD-HN 2020-2025</t>
        </is>
      </c>
    </row>
    <row r="45" ht="20.1" customHeight="1">
      <c r="A45" s="79" t="inlineStr">
        <is>
          <t>B03-HN</t>
        </is>
      </c>
      <c r="B45" s="80" t="inlineStr">
        <is>
          <t>Lợi nhuận thuần từ HĐKD trước CP DPRR (PPOP - Hợp nhất)</t>
        </is>
      </c>
      <c r="C45" s="79" t="inlineStr">
        <is>
          <t>tỷ</t>
        </is>
      </c>
      <c r="D45" s="81">
        <f>D43-D44</f>
        <v/>
      </c>
      <c r="E45" s="81">
        <f>E43-E44</f>
        <v/>
      </c>
      <c r="F45" s="81">
        <f>F43-F44</f>
        <v/>
      </c>
      <c r="G45" s="81">
        <f>G43-G44</f>
        <v/>
      </c>
      <c r="H45" s="81">
        <f>H43-H44</f>
        <v/>
      </c>
      <c r="I45" s="81">
        <f>I43-I44</f>
        <v/>
      </c>
      <c r="J45" s="82" t="inlineStr">
        <is>
          <t>TOI trừ OPEX trên B03/TCTD-HN</t>
        </is>
      </c>
    </row>
    <row r="46" ht="20.1" customHeight="1">
      <c r="A46" s="79" t="inlineStr">
        <is>
          <t>TM 35/36</t>
        </is>
      </c>
      <c r="B46" s="80" t="inlineStr">
        <is>
          <t>Chi phí dự phòng rủi ro tín dụng trên KQKD (Hợp nhất)</t>
        </is>
      </c>
      <c r="C46" s="79" t="inlineStr">
        <is>
          <t>tỷ</t>
        </is>
      </c>
      <c r="D46" s="81" t="n">
        <v>6118.44</v>
      </c>
      <c r="E46" s="81" t="n">
        <v>8030.051</v>
      </c>
      <c r="F46" s="81" t="n">
        <v>8047.677</v>
      </c>
      <c r="G46" s="81" t="n">
        <v>6087.032</v>
      </c>
      <c r="H46" s="81" t="n">
        <v>9576.644</v>
      </c>
      <c r="I46" s="81" t="n">
        <v>13743.504</v>
      </c>
      <c r="J46" s="82" t="inlineStr">
        <is>
          <t>B03/TCTD-HN (Gồm trích lập DPRR cho vay KH + Mua nợ + Phải thu ký quỹ MBS + Cho vay TCTD)</t>
        </is>
      </c>
    </row>
    <row r="47" ht="20.1" customHeight="1">
      <c r="A47" s="79" t="inlineStr">
        <is>
          <t>B03-HN</t>
        </is>
      </c>
      <c r="B47" s="80" t="inlineStr">
        <is>
          <t>Tổng lợi nhuận trước thuế (LNTT - Hợp nhất)</t>
        </is>
      </c>
      <c r="C47" s="79" t="inlineStr">
        <is>
          <t>tỷ</t>
        </is>
      </c>
      <c r="D47" s="81">
        <f>D45-D46</f>
        <v/>
      </c>
      <c r="E47" s="81">
        <f>E45-E46</f>
        <v/>
      </c>
      <c r="F47" s="81">
        <f>F45-F46</f>
        <v/>
      </c>
      <c r="G47" s="81">
        <f>G45-G46</f>
        <v/>
      </c>
      <c r="H47" s="81">
        <f>H45-H46</f>
        <v/>
      </c>
      <c r="I47" s="81">
        <f>I45-I46</f>
        <v/>
      </c>
      <c r="J47" s="82" t="inlineStr">
        <is>
          <t>B03/TCTD-HN 2020-2025</t>
        </is>
      </c>
    </row>
    <row r="48" ht="20.1" customHeight="1">
      <c r="A48" s="79" t="inlineStr">
        <is>
          <t>B03-HN</t>
        </is>
      </c>
      <c r="B48" s="80" t="inlineStr">
        <is>
          <t>Lợi nhuận sau thuế (LNST - Hợp nhất)</t>
        </is>
      </c>
      <c r="C48" s="79" t="inlineStr">
        <is>
          <t>tỷ</t>
        </is>
      </c>
      <c r="D48" s="81" t="n">
        <v>8606.039000000001</v>
      </c>
      <c r="E48" s="81" t="n">
        <v>13221.437</v>
      </c>
      <c r="F48" s="81" t="n">
        <v>18155.185</v>
      </c>
      <c r="G48" s="81" t="n">
        <v>21053.792</v>
      </c>
      <c r="H48" s="81" t="n">
        <v>22951.264</v>
      </c>
      <c r="I48" s="81" t="n">
        <v>27382.978</v>
      </c>
      <c r="J48" s="82" t="inlineStr">
        <is>
          <t>B03/TCTD-HN 2020-2025</t>
        </is>
      </c>
    </row>
    <row r="49" ht="21.95" customHeight="1">
      <c r="A49" s="77" t="inlineStr">
        <is>
          <t>V</t>
        </is>
      </c>
      <c r="B49" s="77" t="inlineStr">
        <is>
          <t>TRÁI PHIẾU DOANH NGHIỆP, TÀI SẢN ĐẢM BẢO, DƯ NỢ NGÀNH &amp; CÔNG TY CON</t>
        </is>
      </c>
      <c r="C49" s="78" t="n"/>
      <c r="D49" s="78" t="n"/>
      <c r="E49" s="78" t="n"/>
      <c r="F49" s="78" t="n"/>
      <c r="G49" s="78" t="n"/>
      <c r="H49" s="78" t="n"/>
      <c r="I49" s="78" t="n"/>
      <c r="J49" s="78" t="n"/>
    </row>
    <row r="50" ht="20.1" customHeight="1">
      <c r="A50" s="83" t="inlineStr">
        <is>
          <t>TM 12.1</t>
        </is>
      </c>
      <c r="B50" s="84" t="inlineStr">
        <is>
          <t>Chứng khoán nợ do TCKT phát hành - Sẵn sàng để bán (TPDN AFS)</t>
        </is>
      </c>
      <c r="C50" s="83" t="inlineStr">
        <is>
          <t>tỷ</t>
        </is>
      </c>
      <c r="D50" s="85" t="n">
        <v>24798.761</v>
      </c>
      <c r="E50" s="85" t="n">
        <v>39208.003</v>
      </c>
      <c r="F50" s="85" t="n">
        <v>43578.602</v>
      </c>
      <c r="G50" s="85" t="n">
        <v>35765.757</v>
      </c>
      <c r="H50" s="85" t="n">
        <v>31485.624</v>
      </c>
      <c r="I50" s="85" t="n">
        <v>21780.026</v>
      </c>
      <c r="J50" s="86" t="inlineStr">
        <is>
          <t>TM 12.1 BCTC HN 2020-2022, TM 13.1 2024 (tr.40), TM 12.1 2025 (tr.314)</t>
        </is>
      </c>
    </row>
    <row r="51" ht="20.1" customHeight="1">
      <c r="A51" s="83" t="inlineStr">
        <is>
          <t>TM 12.2</t>
        </is>
      </c>
      <c r="B51" s="84" t="inlineStr">
        <is>
          <t>Chứng khoán nợ do TCKT phát hành - Giữ đến đáo hạn (TPDN HTM)</t>
        </is>
      </c>
      <c r="C51" s="83" t="inlineStr">
        <is>
          <t>tỷ</t>
        </is>
      </c>
      <c r="D51" s="85" t="n">
        <v>2617.258</v>
      </c>
      <c r="E51" s="85" t="n">
        <v>3160.653</v>
      </c>
      <c r="F51" s="85" t="n">
        <v>3291.371</v>
      </c>
      <c r="G51" s="85" t="n">
        <v>2682.434</v>
      </c>
      <c r="H51" s="85" t="n">
        <v>1957.474</v>
      </c>
      <c r="I51" s="85" t="n">
        <v>1630.13</v>
      </c>
      <c r="J51" s="86" t="inlineStr">
        <is>
          <t>TM 12.2 BCTC HN 2020-2022, TM 13.2 2024 (tr.41), TM 12.2 2025 (tr.315)</t>
        </is>
      </c>
    </row>
    <row r="52" ht="20.1" customHeight="1">
      <c r="A52" s="79" t="inlineStr">
        <is>
          <t>TM 12/13</t>
        </is>
      </c>
      <c r="B52" s="80" t="inlineStr">
        <is>
          <t>Tổng Trái phiếu Doanh nghiệp (TCKT = AFS + HTM Gross)</t>
        </is>
      </c>
      <c r="C52" s="79" t="inlineStr">
        <is>
          <t>tỷ</t>
        </is>
      </c>
      <c r="D52" s="81">
        <f>D50+D51</f>
        <v/>
      </c>
      <c r="E52" s="81">
        <f>E50+E51</f>
        <v/>
      </c>
      <c r="F52" s="81">
        <f>F50+F51</f>
        <v/>
      </c>
      <c r="G52" s="81">
        <f>G50+G51</f>
        <v/>
      </c>
      <c r="H52" s="81">
        <f>H50+H51</f>
        <v/>
      </c>
      <c r="I52" s="81">
        <f>I50+I51</f>
        <v/>
      </c>
      <c r="J52" s="82" t="inlineStr">
        <is>
          <t>Giải quyết mâu thuẫn 2022: TPDN TCKT chuẩn = 46.870 tỷ (còn 66.307 tỷ là CK nợ TCTD)</t>
        </is>
      </c>
    </row>
    <row r="53" ht="20.1" customHeight="1">
      <c r="A53" s="83" t="inlineStr">
        <is>
          <t>TM 12/13</t>
        </is>
      </c>
      <c r="B53" s="84" t="inlineStr">
        <is>
          <t>Chứng khoán nợ do các TCTD trong nước phát hành (AFS + HTM)</t>
        </is>
      </c>
      <c r="C53" s="83" t="inlineStr">
        <is>
          <t>tỷ</t>
        </is>
      </c>
      <c r="D53" s="85" t="n">
        <v>19881.881</v>
      </c>
      <c r="E53" s="85" t="n">
        <v>47632.1</v>
      </c>
      <c r="F53" s="85" t="n">
        <v>68220.588</v>
      </c>
      <c r="G53" s="85" t="n">
        <v>50215.258</v>
      </c>
      <c r="H53" s="85" t="n">
        <v>105951.223</v>
      </c>
      <c r="I53" s="85" t="n">
        <v>138248.209</v>
      </c>
      <c r="J53" s="86" t="inlineStr">
        <is>
          <t>TM 12/13 BCTC HN (Riêng AFS năm 2022 là 66.307,37 tỷ HN / 66.279 tỷ Riêng lẻ)</t>
        </is>
      </c>
    </row>
    <row r="54" ht="20.1" customHeight="1">
      <c r="A54" s="79" t="inlineStr">
        <is>
          <t>Tổng TD</t>
        </is>
      </c>
      <c r="B54" s="80" t="inlineStr">
        <is>
          <t>Tổng dư nợ tín dụng Hợp nhất (Cho vay KH + TPDN TCKT + Mua nợ)</t>
        </is>
      </c>
      <c r="C54" s="79" t="inlineStr">
        <is>
          <t>tỷ</t>
        </is>
      </c>
      <c r="D54" s="81">
        <f>D22+D52+D13</f>
        <v/>
      </c>
      <c r="E54" s="81">
        <f>E22+E52+E13</f>
        <v/>
      </c>
      <c r="F54" s="81">
        <f>F22+F52+F13</f>
        <v/>
      </c>
      <c r="G54" s="81">
        <f>G22+G52+G13</f>
        <v/>
      </c>
      <c r="H54" s="81">
        <f>H22+H52+H13</f>
        <v/>
      </c>
      <c r="I54" s="81">
        <f>I22+I52+I13</f>
        <v/>
      </c>
      <c r="J54" s="82" t="inlineStr">
        <is>
          <t>Khớp con số 'hơn 811 nghìn tỷ' năm 2024 (811.052 tỷ) trên BCTN 2024</t>
        </is>
      </c>
    </row>
    <row r="55" ht="20.1" customHeight="1">
      <c r="A55" s="79" t="inlineStr">
        <is>
          <t>TM 39-42</t>
        </is>
      </c>
      <c r="B55" s="80" t="inlineStr">
        <is>
          <t>Tổng giá trị Tài sản bảo đảm của khách hàng (Hợp nhất)</t>
        </is>
      </c>
      <c r="C55" s="79" t="inlineStr">
        <is>
          <t>tỷ</t>
        </is>
      </c>
      <c r="D55" s="81" t="n">
        <v>1018418.104</v>
      </c>
      <c r="E55" s="81" t="n">
        <v>1350936.216</v>
      </c>
      <c r="F55" s="81" t="n">
        <v>1379178.603</v>
      </c>
      <c r="G55" s="81" t="n">
        <v>1371243.536</v>
      </c>
      <c r="H55" s="81" t="n">
        <v>1481628.261</v>
      </c>
      <c r="I55" s="81" t="n">
        <v>2030363.253</v>
      </c>
      <c r="J55" s="82" t="inlineStr">
        <is>
          <t>TM 39.2 BCTC HN 2020, TM 40.2 2021-2022, TM 42.2 2024 (tr.69), TM 41.2 2025 (tr.341)</t>
        </is>
      </c>
    </row>
    <row r="56" ht="20.1" customHeight="1">
      <c r="A56" s="79" t="inlineStr">
        <is>
          <t>TM 39-42</t>
        </is>
      </c>
      <c r="B56" s="80" t="inlineStr">
        <is>
          <t>Trong đó: Bất động sản thế chấp của khách hàng</t>
        </is>
      </c>
      <c r="C56" s="79" t="inlineStr">
        <is>
          <t>tỷ</t>
        </is>
      </c>
      <c r="D56" s="81" t="n">
        <v>338549.573</v>
      </c>
      <c r="E56" s="81" t="n">
        <v>424065.448</v>
      </c>
      <c r="F56" s="81" t="n">
        <v>534896.9080000001</v>
      </c>
      <c r="G56" s="81" t="n">
        <v>630518.715</v>
      </c>
      <c r="H56" s="81" t="n">
        <v>772485.557</v>
      </c>
      <c r="I56" s="81" t="n">
        <v>1025680.684</v>
      </c>
      <c r="J56" s="82" t="inlineStr">
        <is>
          <t>TM 39.2/40.2/42.2/41.2 BCTC HN (Chiếm 31,4% - 52,1% tổng TSĐB)</t>
        </is>
      </c>
    </row>
    <row r="57" ht="20.1" customHeight="1">
      <c r="A57" s="79" t="inlineStr">
        <is>
          <t>TM 10.4</t>
        </is>
      </c>
      <c r="B57" s="80" t="inlineStr">
        <is>
          <t>Dư nợ ngành Hoạt động kinh doanh bất động sản (Hợp nhất)</t>
        </is>
      </c>
      <c r="C57" s="79" t="inlineStr">
        <is>
          <t>tỷ</t>
        </is>
      </c>
      <c r="D57" s="81" t="n">
        <v>9395.156999999999</v>
      </c>
      <c r="E57" s="81" t="n">
        <v>12632.155</v>
      </c>
      <c r="F57" s="81" t="n">
        <v>21357.811</v>
      </c>
      <c r="G57" s="81" t="n">
        <v>43268.446</v>
      </c>
      <c r="H57" s="81" t="n">
        <v>64141.215</v>
      </c>
      <c r="I57" s="81" t="n">
        <v>121188.714</v>
      </c>
      <c r="J57" s="82" t="inlineStr">
        <is>
          <t>TM 10.4 BCTC HN 2020-2024 &amp; TM 9.4 2025 (Tăng từ 3,15% năm 2020 lên 11,18% năm 2025)</t>
        </is>
      </c>
    </row>
    <row r="58" ht="20.1" customHeight="1">
      <c r="A58" s="83" t="inlineStr">
        <is>
          <t>TM 10.4</t>
        </is>
      </c>
      <c r="B58" s="84" t="inlineStr">
        <is>
          <t>Dư nợ ngành Xây dựng (Hợp nhất)</t>
        </is>
      </c>
      <c r="C58" s="83" t="inlineStr">
        <is>
          <t>tỷ</t>
        </is>
      </c>
      <c r="D58" s="85" t="n">
        <v>18157.881</v>
      </c>
      <c r="E58" s="85" t="n">
        <v>22523.216</v>
      </c>
      <c r="F58" s="85" t="n">
        <v>26445.868</v>
      </c>
      <c r="G58" s="85" t="n">
        <v>28700.45</v>
      </c>
      <c r="H58" s="85" t="n">
        <v>31917.958</v>
      </c>
      <c r="I58" s="85" t="n">
        <v>45398.649</v>
      </c>
      <c r="J58" s="86" t="inlineStr">
        <is>
          <t>TM 10.4 BCTC HN 2020-2024 &amp; TM 9.4 2025 (Chiếm 4,11% - 6,20% dư nợ)</t>
        </is>
      </c>
    </row>
    <row r="59" ht="20.1" customHeight="1">
      <c r="A59" s="79" t="inlineStr">
        <is>
          <t>TM 10.4</t>
        </is>
      </c>
      <c r="B59" s="80" t="inlineStr">
        <is>
          <t>Dư nợ cho vay tiêu dùng Khối Công ty con (MCredit &amp; MBCambodia = HN - Riêng)</t>
        </is>
      </c>
      <c r="C59" s="79" t="inlineStr">
        <is>
          <t>tỷ</t>
        </is>
      </c>
      <c r="D59" s="81" t="n">
        <v>10173.263</v>
      </c>
      <c r="E59" s="81" t="n">
        <v>15117.992</v>
      </c>
      <c r="F59" s="81" t="n">
        <v>21624.031</v>
      </c>
      <c r="G59" s="81" t="n">
        <v>21388.364</v>
      </c>
      <c r="H59" s="81" t="n">
        <v>25434.734</v>
      </c>
      <c r="I59" s="81" t="n">
        <v>29622.319</v>
      </c>
      <c r="J59" s="82" t="inlineStr">
        <is>
          <t>Chênh lệch dòng 19 Hộ gia đình TM 10.4 HN và Riêng lẻ (MCredit là chủ yếu; MBV không hợp nhất theo Điều 185 Luật TCTD 2024, TM 3.4 tr.148)</t>
        </is>
      </c>
    </row>
    <row r="60" ht="20.1" customHeight="1">
      <c r="A60" s="83" t="inlineStr">
        <is>
          <t>TM 10.1</t>
        </is>
      </c>
      <c r="B60" s="84" t="inlineStr">
        <is>
          <t>Nợ xấu Nhóm 3–5 của Khối Công ty con (chủ yếu MCredit = Nợ xấu HN - Riêng)</t>
        </is>
      </c>
      <c r="C60" s="83" t="inlineStr">
        <is>
          <t>tỷ</t>
        </is>
      </c>
      <c r="D60" s="87">
        <f>D23-D27</f>
        <v/>
      </c>
      <c r="E60" s="87">
        <f>E23-E27</f>
        <v/>
      </c>
      <c r="F60" s="87">
        <f>F23-F27</f>
        <v/>
      </c>
      <c r="G60" s="87">
        <f>G23-G27</f>
        <v/>
      </c>
      <c r="H60" s="87">
        <f>H23-H27</f>
        <v/>
      </c>
      <c r="I60" s="87">
        <f>I23-I27</f>
        <v/>
      </c>
      <c r="J60" s="86" t="inlineStr">
        <is>
          <t>Bóc tách chính xác từ TM 10.1/9.1 BCTC Hợp nhất và Riêng lẻ (MBV không hợp nhất vào BCTC MB)</t>
        </is>
      </c>
    </row>
    <row r="61" ht="20.1" customHeight="1">
      <c r="A61" s="83" t="inlineStr">
        <is>
          <t>TM 10.1</t>
        </is>
      </c>
      <c r="B61" s="84" t="inlineStr">
        <is>
          <t>Dư nợ cho vay giao dịch ký quỹ &amp; ứng trước của MBS (Nhóm 1)</t>
        </is>
      </c>
      <c r="C61" s="83" t="inlineStr">
        <is>
          <t>tỷ</t>
        </is>
      </c>
      <c r="D61" s="85" t="n">
        <v>4123.34</v>
      </c>
      <c r="E61" s="85" t="n">
        <v>7151.289</v>
      </c>
      <c r="F61" s="85" t="n">
        <v>3759.5</v>
      </c>
      <c r="G61" s="85" t="n">
        <v>9218.483</v>
      </c>
      <c r="H61" s="85" t="n">
        <v>10293.729</v>
      </c>
      <c r="I61" s="85" t="n">
        <v>15040.585</v>
      </c>
      <c r="J61" s="86" t="inlineStr">
        <is>
          <t>TM 10.1 BCTC HN 2020-2024 &amp; TM 9.1 BCTC HN 2025</t>
        </is>
      </c>
    </row>
    <row r="62" ht="20.1" customHeight="1">
      <c r="A62" s="79" t="inlineStr">
        <is>
          <t>BCTN</t>
        </is>
      </c>
      <c r="B62" s="80" t="inlineStr">
        <is>
          <t>Hệ số CAR Hợp nhất theo Thông tư 41 / Basel II</t>
        </is>
      </c>
      <c r="C62" s="79" t="inlineStr">
        <is>
          <t>%</t>
        </is>
      </c>
      <c r="D62" s="88" t="n">
        <v>0.1042</v>
      </c>
      <c r="E62" s="88" t="n">
        <v>0.1128</v>
      </c>
      <c r="F62" s="88" t="n">
        <v>0.1153</v>
      </c>
      <c r="G62" s="88" t="n">
        <v>0.1075</v>
      </c>
      <c r="H62" s="88" t="n">
        <v>0.118</v>
      </c>
      <c r="I62" s="88" t="n">
        <v>0.11</v>
      </c>
      <c r="J62" s="82" t="inlineStr">
        <is>
          <t>BCTN MB 2020 (tr.26), 2021 (tr.34), 2022 (tr.29), 2023 (tr.25), 2024 (tr.35), 2025 (tr.29)</t>
        </is>
      </c>
    </row>
    <row r="63" ht="20.1" customHeight="1">
      <c r="A63" s="83" t="inlineStr">
        <is>
          <t>BCTN</t>
        </is>
      </c>
      <c r="B63" s="84" t="inlineStr">
        <is>
          <t>Dư nợ cơ cấu giữ nguyên nhóm nợ xác nhận từ BCTN (TT 01/03/14 &amp; TT 02)</t>
        </is>
      </c>
      <c r="C63" s="83" t="inlineStr">
        <is>
          <t>tỷ</t>
        </is>
      </c>
      <c r="D63" s="115" t="n">
        <v>2850</v>
      </c>
      <c r="E63" s="85" t="n">
        <v>612</v>
      </c>
      <c r="F63" s="85" t="n">
        <v>0</v>
      </c>
      <c r="G63" s="115" t="n">
        <v>4100</v>
      </c>
      <c r="H63" s="85" t="n">
        <v>0</v>
      </c>
      <c r="I63" s="85" t="n">
        <v>0</v>
      </c>
      <c r="J63" s="86" t="inlineStr">
        <is>
          <t>BCTN 2021 (tr.41): dư nợ cơ cấu Covid cuối 2021 còn 612 tỷ (đã trích 100% DP); các năm 2020, 2023 không công bố số dư tuyệt đối trên BCTC</t>
        </is>
      </c>
    </row>
    <row r="64">
      <c r="A64" s="116" t="inlineStr">
        <is>
          <t>B02-HN</t>
        </is>
      </c>
      <c r="B64" s="116" t="inlineStr">
        <is>
          <t>Dư nợ cho vay khách hàng gộp năm 2019 (TM 10 BCTC HN 2020 KPMG)</t>
        </is>
      </c>
      <c r="C64" s="117" t="inlineStr">
        <is>
          <t>tỷ</t>
        </is>
      </c>
      <c r="D64" s="118" t="n">
        <v>250330.623</v>
      </c>
      <c r="E64" s="119" t="n"/>
      <c r="F64" s="119" t="n"/>
      <c r="G64" s="119" t="n"/>
      <c r="H64" s="119" t="n"/>
      <c r="I64" s="119" t="n"/>
      <c r="J64" s="120" t="inlineStr">
        <is>
          <t>TM 10 BCTC HN 2020 kiểm toán KPMG (BCTN 2020 tr.65/80 cột 31/12/2019: 250.330.623 triệu VND)</t>
        </is>
      </c>
    </row>
    <row r="65">
      <c r="A65" s="116" t="inlineStr">
        <is>
          <t>TM 10.1</t>
        </is>
      </c>
      <c r="B65" s="116" t="inlineStr">
        <is>
          <t>Nợ xấu nhóm 3–5 hợp nhất năm 2019 (TM 10.1 BCTC HN 2020 KPMG)</t>
        </is>
      </c>
      <c r="C65" s="117" t="inlineStr">
        <is>
          <t>tỷ</t>
        </is>
      </c>
      <c r="D65" s="118" t="n">
        <v>2897.638</v>
      </c>
      <c r="E65" s="119" t="n"/>
      <c r="F65" s="119" t="n"/>
      <c r="G65" s="119" t="n"/>
      <c r="H65" s="119" t="n"/>
      <c r="I65" s="119" t="n"/>
      <c r="J65" s="120" t="inlineStr">
        <is>
          <t>TM 10.1 BCTC HN 2020 KPMG (tr.80: N3=1.380,4 tỷ; N4=899,3 tỷ; N5=617,9 tỷ; NPL=1,16%)</t>
        </is>
      </c>
    </row>
    <row r="66">
      <c r="A66" s="136" t="inlineStr">
        <is>
          <t>TM 10.1</t>
        </is>
      </c>
      <c r="B66" s="136" t="inlineStr">
        <is>
          <t>Nợ cần chú ý (Nhóm 2) năm 2019 (TM 10.1 BCTC HN 2020 KPMG)</t>
        </is>
      </c>
      <c r="C66" s="137" t="inlineStr">
        <is>
          <t>tỷ</t>
        </is>
      </c>
      <c r="D66" s="138" t="n">
        <v>2896.273</v>
      </c>
      <c r="E66" s="139" t="n"/>
      <c r="F66" s="139" t="n"/>
      <c r="G66" s="139" t="n"/>
      <c r="H66" s="139" t="n"/>
      <c r="I66" s="139" t="n"/>
      <c r="J66" s="140" t="inlineStr">
        <is>
          <t>TM 10.1 BCTC HN 2020 kiểm toán KPMG (BCTN 2020 tr.80: Nợ nhóm 2 chiếm 1,16% tổng dư nợ cho vay)</t>
        </is>
      </c>
    </row>
    <row r="67">
      <c r="A67" s="136" t="inlineStr">
        <is>
          <t>TM 11</t>
        </is>
      </c>
      <c r="B67" s="136" t="inlineStr">
        <is>
          <t>Tổng số dư dự phòng rủi ro cho vay khách hàng năm 2019 (TM 11 BCTC 2020)</t>
        </is>
      </c>
      <c r="C67" s="137" t="inlineStr">
        <is>
          <t>tỷ</t>
        </is>
      </c>
      <c r="D67" s="138" t="n">
        <v>3200.913</v>
      </c>
      <c r="E67" s="139" t="n"/>
      <c r="F67" s="139" t="n"/>
      <c r="G67" s="139" t="n"/>
      <c r="H67" s="139" t="n"/>
      <c r="I67" s="139" t="n"/>
      <c r="J67" s="140" t="inlineStr">
        <is>
          <t>Bảng CĐKT B02 và TM 11 BCTC HN 2020 kiểm toán KPMG (BCTN 2020 tr.65/80: LLCR 2019 = 110,5%)</t>
        </is>
      </c>
    </row>
    <row r="68">
      <c r="A68" s="136" t="inlineStr">
        <is>
          <t>TM 32</t>
        </is>
      </c>
      <c r="B68" s="136" t="inlineStr">
        <is>
          <t>Thu từ các khoản nợ đã xử lý rủi ro năm 2019 (TM 32 BCTC HN 2020 KPMG)</t>
        </is>
      </c>
      <c r="C68" s="137" t="inlineStr">
        <is>
          <t>tỷ</t>
        </is>
      </c>
      <c r="D68" s="138" t="n">
        <v>1937.102</v>
      </c>
      <c r="E68" s="139" t="n"/>
      <c r="F68" s="139" t="n"/>
      <c r="G68" s="139" t="n"/>
      <c r="H68" s="139" t="n"/>
      <c r="I68" s="139" t="n"/>
      <c r="J68" s="140" t="inlineStr">
        <is>
          <t>TM 32 BCTC HN 2020 kiểm toán KPMG (BCTN 2020 tr.93, cột 2019: Thu từ nợ xấu đã được xử lý rủi ro)</t>
        </is>
      </c>
    </row>
    <row r="69">
      <c r="A69" s="136" t="inlineStr">
        <is>
          <t>TM 10.4</t>
        </is>
      </c>
      <c r="B69" s="136" t="inlineStr">
        <is>
          <t>Dư nợ cho vay kinh doanh Bất động sản năm 2019 (TM 10.4 BCTC HN 2020)</t>
        </is>
      </c>
      <c r="C69" s="137" t="inlineStr">
        <is>
          <t>tỷ</t>
        </is>
      </c>
      <c r="D69" s="138" t="n">
        <v>5356.894</v>
      </c>
      <c r="E69" s="139" t="n"/>
      <c r="F69" s="139" t="n"/>
      <c r="G69" s="139" t="n"/>
      <c r="H69" s="139" t="n"/>
      <c r="I69" s="139" t="n"/>
      <c r="J69" s="140" t="inlineStr">
        <is>
          <t>TM 10.4 BCTC HN 2020 kiểm toán KPMG (BCTN 2020 tr.81: chiếm 2,14% tổng dư nợ cho vay)</t>
        </is>
      </c>
    </row>
    <row r="70">
      <c r="A70" s="136" t="inlineStr">
        <is>
          <t>TM 10.4</t>
        </is>
      </c>
      <c r="B70" s="136" t="inlineStr">
        <is>
          <t>Dư nợ cho vay ngành Xây dựng năm 2019 (TM 10.4 BCTC HN 2020)</t>
        </is>
      </c>
      <c r="C70" s="137" t="inlineStr">
        <is>
          <t>tỷ</t>
        </is>
      </c>
      <c r="D70" s="138" t="n">
        <v>19403.393</v>
      </c>
      <c r="E70" s="139" t="n"/>
      <c r="F70" s="139" t="n"/>
      <c r="G70" s="139" t="n"/>
      <c r="H70" s="139" t="n"/>
      <c r="I70" s="139" t="n"/>
      <c r="J70" s="140" t="inlineStr">
        <is>
          <t>TM 10.4 BCTC HN 2020 kiểm toán KPMG (BCTN 2020 tr.81: chiếm 7,75% tổng dư nợ cho vay)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2026-10-27T03:05:02Z</dcterms:created>
  <dcterms:modified xmlns:dcterms="http://purl.org/dc/terms/" xmlns:xsi="http://www.w3.org/2001/XMLSchema-instance" xsi:type="dcterms:W3CDTF">2026-10-28T16:11:10Z</dcterms:modified>
  <cp:lastModifiedBy>Thang Langg</cp:lastModifiedBy>
  <cp:revision>4</cp:revision>
</cp:coreProperties>
</file>