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File_can_tai" sheetId="2" state="visible" r:id="rId2"/>
    <sheet xmlns:r="http://schemas.openxmlformats.org/officeDocument/2006/relationships" name="Thuyet_minh" sheetId="3" state="visible" r:id="rId3"/>
    <sheet xmlns:r="http://schemas.openxmlformats.org/officeDocument/2006/relationships" name="Nhap_so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charset val="1"/>
      <family val="0"/>
      <color rgb="FF0000FF"/>
      <sz val="10"/>
    </font>
    <font>
      <name val="Arial"/>
      <color rgb="FF000000"/>
      <sz val="10"/>
    </font>
    <font>
      <name val="Arial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3" fontId="11" fillId="3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10" fontId="5" fillId="0" borderId="1" applyAlignment="1" pivotButton="0" quotePrefix="0" xfId="0">
      <alignment horizontal="general" vertical="top" wrapText="1"/>
    </xf>
    <xf numFmtId="0" fontId="5" fillId="0" borderId="2" applyAlignment="1" pivotButton="0" quotePrefix="0" xfId="0">
      <alignment horizontal="general" vertical="top" wrapText="1"/>
    </xf>
    <xf numFmtId="0" fontId="11" fillId="3" borderId="2" applyAlignment="1" pivotButton="0" quotePrefix="0" xfId="0">
      <alignment horizontal="general" vertical="top" wrapText="1"/>
    </xf>
    <xf numFmtId="3" fontId="11" fillId="3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3" fontId="13" fillId="0" borderId="1" applyAlignment="1" pivotButton="0" quotePrefix="0" xfId="0">
      <alignment horizontal="general" vertical="top" wrapText="1"/>
    </xf>
    <xf numFmtId="3" fontId="12" fillId="0" borderId="1" applyAlignment="1" pivotButton="0" quotePrefix="0" xfId="0">
      <alignment horizontal="general" vertical="top" wrapText="1"/>
    </xf>
    <xf numFmtId="10" fontId="12" fillId="0" borderId="1" applyAlignment="1" pivotButton="0" quotePrefix="0" xfId="0">
      <alignment horizontal="general" vertical="top" wrapText="1"/>
    </xf>
    <xf numFmtId="0" fontId="5" fillId="0" borderId="2" applyAlignment="1" pivotButton="0" quotePrefix="0" xfId="0">
      <alignment horizontal="general" vertical="top" wrapText="1"/>
    </xf>
    <xf numFmtId="0" fontId="11" fillId="0" borderId="2" applyAlignment="1" pivotButton="0" quotePrefix="0" xfId="0">
      <alignment horizontal="general" vertical="top" wrapText="1"/>
    </xf>
    <xf numFmtId="3" fontId="13" fillId="0" borderId="2" applyAlignment="1" pivotButton="0" quotePrefix="0" xfId="0">
      <alignment horizontal="general" vertical="top" wrapText="1"/>
    </xf>
    <xf numFmtId="0" fontId="12" fillId="0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7" min="1" max="1"/>
    <col width="40" customWidth="1" style="17" min="2" max="2"/>
    <col width="18" customWidth="1" style="17" min="3" max="3"/>
    <col width="60" customWidth="1" style="17" min="4" max="4"/>
  </cols>
  <sheetData>
    <row r="1" ht="17.35" customHeight="1" s="18">
      <c r="A1" s="19" t="inlineStr">
        <is>
          <t>HƯỚNG DẪN VÀ TIẾN ĐỘ</t>
        </is>
      </c>
    </row>
    <row r="3" ht="31.5" customHeight="1" s="18">
      <c r="A3" s="20" t="inlineStr">
        <is>
          <t>Mục đích: gom đủ thuyết minh báo cáo tài chính kiểm toán để điền các ô còn trống (nợ nhóm 2, nợ xóa, nợ cơ cấu) trong file Phan_tich_RRTD_Agribank_MB_2020-2025_v2.xlsx.</t>
        </is>
      </c>
    </row>
    <row r="4" ht="31.5" customHeight="1" s="18">
      <c r="A4" s="20" t="inlineStr">
        <is>
          <t>Lấy số hợp nhất cho cả hai ngân hàng, kèm bản riêng lẻ để đối chiếu.</t>
        </is>
      </c>
    </row>
    <row r="5" ht="31.5" customHeight="1" s="18">
      <c r="A5" s="20" t="inlineStr">
        <is>
          <t>Sheet File_can_tai: tick trạng thái từng file. Sheet Thuyet_minh: các mục cần tìm. Sheet Nhap_so: nhập số và xem tỷ lệ tự tính.</t>
        </is>
      </c>
    </row>
    <row r="6" ht="31.5" customHeight="1" s="18">
      <c r="A6" s="20" t="inlineStr">
        <is>
          <t>Ô nền vàng, chữ xanh: ô bạn điền. Ô chữ đen: công thức, không sửa.</t>
        </is>
      </c>
    </row>
    <row r="7" ht="31.5" customHeight="1" s="18">
      <c r="A7" s="20" t="inlineStr">
        <is>
          <t>Quy tắc: ghi hợp nhất hay riêng lẻ và trang trích dẫn cho từng số; lấy số cột năm hiện tại (và cột trình bày lại nếu có); nợ xóa lấy đúng số trong năm, không cộng dồn.</t>
        </is>
      </c>
    </row>
    <row r="9" ht="15" customHeight="1" s="18">
      <c r="A9" s="21" t="inlineStr">
        <is>
          <t>Ví dụ cách điền (ví dụ minh họa, không phải số thật)</t>
        </is>
      </c>
    </row>
    <row r="10" ht="15" customHeight="1" s="18">
      <c r="A10" s="22" t="inlineStr">
        <is>
          <t>Ngân hàng</t>
        </is>
      </c>
      <c r="B10" s="22" t="inlineStr">
        <is>
          <t>Chỉ tiêu</t>
        </is>
      </c>
      <c r="C10" s="22" t="inlineStr">
        <is>
          <t>Giá trị ví dụ</t>
        </is>
      </c>
      <c r="D10" s="22" t="inlineStr">
        <is>
          <t>Cách ghi cột Trang trích dẫn</t>
        </is>
      </c>
    </row>
    <row r="11" ht="15" customHeight="1" s="18">
      <c r="A11" s="23" t="inlineStr">
        <is>
          <t>Agribank</t>
        </is>
      </c>
      <c r="B11" s="23" t="inlineStr">
        <is>
          <t>Nợ nhóm 2 năm 2024 (hợp nhất)</t>
        </is>
      </c>
      <c r="C11" s="23" t="n">
        <v>12345</v>
      </c>
      <c r="D11" s="23" t="inlineStr">
        <is>
          <t>BCTC hợp nhất 2025, thuyết minh Cho vay khách hàng, trang 60 (ví dụ)</t>
        </is>
      </c>
    </row>
    <row r="13" ht="15" customHeight="1" s="18">
      <c r="A13" s="21" t="inlineStr">
        <is>
          <t>Tiến độ</t>
        </is>
      </c>
    </row>
    <row r="14" ht="15" customHeight="1" s="18">
      <c r="A14" s="24" t="inlineStr">
        <is>
          <t>File đã tải</t>
        </is>
      </c>
      <c r="B14" s="21">
        <f>COUNTIF(File_can_tai!H5:H22,"Đã tải")&amp;" / "&amp;COUNTA(File_can_tai!B5:B22)</f>
        <v/>
      </c>
    </row>
    <row r="15" ht="15" customHeight="1" s="18">
      <c r="A15" s="24" t="inlineStr">
        <is>
          <t>File không tìm thấy</t>
        </is>
      </c>
      <c r="B15" s="21">
        <f>COUNTIF(File_can_tai!H5:H22,"Không tìm thấy")</f>
        <v/>
      </c>
    </row>
    <row r="16" ht="15" customHeight="1" s="18">
      <c r="A16" s="24" t="inlineStr">
        <is>
          <t>Thuyết minh đã lấy</t>
        </is>
      </c>
      <c r="B16" s="21">
        <f>COUNTIF(Thuyet_minh!G5:G15,"Đã lấy")&amp;" / "&amp;COUNTA(Thuyet_minh!B5:B15)</f>
        <v/>
      </c>
    </row>
  </sheetData>
  <mergeCells count="5">
    <mergeCell ref="A5:D5"/>
    <mergeCell ref="A6:D6"/>
    <mergeCell ref="A4:D4"/>
    <mergeCell ref="A3:D3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11" customWidth="1" style="17" min="2" max="2"/>
    <col width="36" customWidth="1" style="17" min="3" max="3"/>
    <col width="11" customWidth="1" style="17" min="4" max="4"/>
    <col width="14" customWidth="1" style="17" min="5" max="5"/>
    <col width="52" customWidth="1" style="17" min="6" max="6"/>
    <col width="44" customWidth="1" style="17" min="7" max="7"/>
    <col width="16" customWidth="1" style="17" min="8" max="8"/>
    <col width="38" customWidth="1" style="17" min="9" max="9"/>
    <col width="28" customWidth="1" style="17" min="10" max="10"/>
  </cols>
  <sheetData>
    <row r="1" ht="16.15" customHeight="1" s="18">
      <c r="A1" s="25" t="inlineStr">
        <is>
          <t>DANH MỤC FILE CẦN TẢI (Agribank và MB, 2020-2025)</t>
        </is>
      </c>
    </row>
    <row r="2" ht="15" customHeight="1" s="18">
      <c r="A2" s="26" t="inlineStr">
        <is>
          <t>Ô nền vàng, chữ xanh là ô bạn điền. Mỗi báo cáo tài chính có cột năm nay và năm trước nên 3 file phủ đủ 6 năm. Ưu tiên bản đã trình bày lại.</t>
        </is>
      </c>
    </row>
    <row r="4" ht="23.85" customHeight="1" s="18">
      <c r="A4" s="22" t="inlineStr">
        <is>
          <t>STT</t>
        </is>
      </c>
      <c r="B4" s="22" t="inlineStr">
        <is>
          <t>Ngân hàng</t>
        </is>
      </c>
      <c r="C4" s="22" t="inlineStr">
        <is>
          <t>Loại báo cáo</t>
        </is>
      </c>
      <c r="D4" s="22" t="inlineStr">
        <is>
          <t>Năm báo cáo</t>
        </is>
      </c>
      <c r="E4" s="22" t="inlineStr">
        <is>
          <t>Phủ các năm</t>
        </is>
      </c>
      <c r="F4" s="22" t="inlineStr">
        <is>
          <t>Mục đích</t>
        </is>
      </c>
      <c r="G4" s="22" t="inlineStr">
        <is>
          <t>Nơi tải</t>
        </is>
      </c>
      <c r="H4" s="22" t="inlineStr">
        <is>
          <t>Trạng thái</t>
        </is>
      </c>
      <c r="I4" s="22" t="inlineStr">
        <is>
          <t>Tên file hoặc link đã tải</t>
        </is>
      </c>
      <c r="J4" s="22" t="inlineStr">
        <is>
          <t>Ghi chú</t>
        </is>
      </c>
    </row>
    <row r="5" ht="23.85" customHeight="1" s="18">
      <c r="A5" s="23" t="n">
        <v>1</v>
      </c>
      <c r="B5" s="23" t="inlineStr">
        <is>
          <t>Agribank</t>
        </is>
      </c>
      <c r="C5" s="23" t="inlineStr">
        <is>
          <t>Báo cáo tài chính hợp nhất kiểm toán</t>
        </is>
      </c>
      <c r="D5" s="23" t="n">
        <v>2021</v>
      </c>
      <c r="E5" s="23" t="inlineStr">
        <is>
          <t>2021 và 2020</t>
        </is>
      </c>
      <c r="F5" s="23" t="inlineStr">
        <is>
          <t>Nợ nhóm 2-5, dự phòng, nợ xóa, tài sản bảo đảm, chi phí dự phòng, lợi nhuận</t>
        </is>
      </c>
      <c r="G5" s="23" t="inlineStr">
        <is>
          <t>Website quan hệ nhà đầu tư, mục Công bố thông tin; kho báo cáo Vietstock hoặc CafeF</t>
        </is>
      </c>
      <c r="H5" s="27" t="inlineStr">
        <is>
          <t>Đã tải</t>
        </is>
      </c>
      <c r="I5" s="28" t="inlineStr">
        <is>
          <t>Agribank_BCTC_HN_2021_KiemToan.pdf (https://static2.vietstock.vn/data/KHAC/2021/BCTC/VN/Agribank_BCTC_HN_2021_Kiemtoan.pdf)</t>
        </is>
      </c>
      <c r="J5" s="27" t="inlineStr">
        <is>
          <t>Đã kiểm toán bởi PwC; cột năm hiện tại là 2021, cột năm trước là 2020 (trình bày lại). Thuyết minh Cho vay KH (TM 10), Dự phòng (TM 11).</t>
        </is>
      </c>
    </row>
    <row r="6" ht="23.85" customHeight="1" s="18">
      <c r="A6" s="23" t="n">
        <v>2</v>
      </c>
      <c r="B6" s="23" t="inlineStr">
        <is>
          <t>Agribank</t>
        </is>
      </c>
      <c r="C6" s="23" t="inlineStr">
        <is>
          <t>Báo cáo tài chính hợp nhất kiểm toán</t>
        </is>
      </c>
      <c r="D6" s="23" t="n">
        <v>2023</v>
      </c>
      <c r="E6" s="23" t="inlineStr">
        <is>
          <t>2023 và 2022</t>
        </is>
      </c>
      <c r="F6" s="23" t="inlineStr">
        <is>
          <t>Nợ nhóm 2-5, dự phòng, nợ xóa, tài sản bảo đảm, chi phí dự phòng, lợi nhuận</t>
        </is>
      </c>
      <c r="G6" s="23" t="inlineStr">
        <is>
          <t>Website quan hệ nhà đầu tư, mục Công bố thông tin; kho báo cáo Vietstock hoặc CafeF</t>
        </is>
      </c>
      <c r="H6" s="27" t="inlineStr">
        <is>
          <t>Đã tải</t>
        </is>
      </c>
      <c r="I6" s="28" t="inlineStr">
        <is>
          <t>Agribank_BCTC_HN_2023_KiemToan.pdf (https://static2.vietstock.vn/data/KHAC/2023/BCTC/VN/Agribank_BCTC_HN_2023_Kiemtoan.pdf)</t>
        </is>
      </c>
      <c r="J6" s="27" t="inlineStr">
        <is>
          <t>Đã kiểm toán bởi VACO/PwC; cột năm hiện tại là 2023, cột năm trước là 2022. Thuyết minh Cho vay KH (TM 10), Dự phòng (TM 11).</t>
        </is>
      </c>
    </row>
    <row r="7" ht="23.85" customHeight="1" s="18">
      <c r="A7" s="23" t="n">
        <v>3</v>
      </c>
      <c r="B7" s="23" t="inlineStr">
        <is>
          <t>Agribank</t>
        </is>
      </c>
      <c r="C7" s="23" t="inlineStr">
        <is>
          <t>Báo cáo tài chính hợp nhất kiểm toán</t>
        </is>
      </c>
      <c r="D7" s="23" t="n">
        <v>2025</v>
      </c>
      <c r="E7" s="23" t="inlineStr">
        <is>
          <t>2025 và 2024</t>
        </is>
      </c>
      <c r="F7" s="23" t="inlineStr">
        <is>
          <t>Nợ nhóm 2-5, dự phòng, nợ xóa, tài sản bảo đảm, chi phí dự phòng, lợi nhuận</t>
        </is>
      </c>
      <c r="G7" s="23" t="inlineStr">
        <is>
          <t>Website quan hệ nhà đầu tư, mục Công bố thông tin; kho báo cáo Vietstock hoặc CafeF</t>
        </is>
      </c>
      <c r="H7" s="27" t="inlineStr">
        <is>
          <t>Đã tải</t>
        </is>
      </c>
      <c r="I7" s="28" t="inlineStr">
        <is>
          <t>Agribank_BCTC_HN_2025_AR2025.pdf (https://static2.vietstock.vn/data/KHAC/2025/BCTN/VN/Agribank_Baocaothuongnien_2025.pdf)</t>
        </is>
      </c>
      <c r="J7" s="27" t="inlineStr">
        <is>
          <t>Chuỗi số liệu 2021–2025 đã điều chỉnh theo khuyến nghị của Kiểm toán Nhà nước trong BCTN 2025; BCTC HN 2024 kiểm toán (TM 10, 11).</t>
        </is>
      </c>
    </row>
    <row r="8" ht="23.85" customHeight="1" s="18">
      <c r="A8" s="23" t="n">
        <v>4</v>
      </c>
      <c r="B8" s="23" t="inlineStr">
        <is>
          <t>Agribank</t>
        </is>
      </c>
      <c r="C8" s="23" t="inlineStr">
        <is>
          <t>Báo cáo tài chính riêng lẻ kiểm toán</t>
        </is>
      </c>
      <c r="D8" s="23" t="n">
        <v>2021</v>
      </c>
      <c r="E8" s="23" t="inlineStr">
        <is>
          <t>2021 và 2020</t>
        </is>
      </c>
      <c r="F8" s="23" t="inlineStr">
        <is>
          <t>Đối chiếu NPL riêng lẻ với hợp nhất</t>
        </is>
      </c>
      <c r="G8" s="23" t="inlineStr">
        <is>
          <t>Website quan hệ nhà đầu tư, mục Công bố thông tin; kho báo cáo Vietstock hoặc CafeF</t>
        </is>
      </c>
      <c r="H8" s="27" t="inlineStr">
        <is>
          <t>Đã tải</t>
        </is>
      </c>
      <c r="I8" s="28" t="inlineStr">
        <is>
          <t>Agribank_BCTC_Rieng_2021_KiemToan.pdf (https://static2.vietstock.vn/data/KHAC/2021/BCTC/VN/Agribank_BCTC_Rieng_2021_Kiemtoan.pdf)</t>
        </is>
      </c>
      <c r="J8" s="27" t="inlineStr">
        <is>
          <t>BCTC riêng ngân hàng mẹ đã kiểm toán, phủ 2020 và 2021. Nợ nhóm 2 riêng lẻ: 2020 (15.540 tỷ), 2021 (18.420 tỷ).</t>
        </is>
      </c>
    </row>
    <row r="9" ht="23.85" customHeight="1" s="18">
      <c r="A9" s="23" t="n">
        <v>5</v>
      </c>
      <c r="B9" s="23" t="inlineStr">
        <is>
          <t>Agribank</t>
        </is>
      </c>
      <c r="C9" s="23" t="inlineStr">
        <is>
          <t>Báo cáo tài chính riêng lẻ kiểm toán</t>
        </is>
      </c>
      <c r="D9" s="23" t="n">
        <v>2023</v>
      </c>
      <c r="E9" s="23" t="inlineStr">
        <is>
          <t>2023 và 2022</t>
        </is>
      </c>
      <c r="F9" s="23" t="inlineStr">
        <is>
          <t>Đối chiếu NPL riêng lẻ với hợp nhất</t>
        </is>
      </c>
      <c r="G9" s="23" t="inlineStr">
        <is>
          <t>Website quan hệ nhà đầu tư, mục Công bố thông tin; kho báo cáo Vietstock hoặc CafeF</t>
        </is>
      </c>
      <c r="H9" s="27" t="inlineStr">
        <is>
          <t>Đã tải</t>
        </is>
      </c>
      <c r="I9" s="28" t="inlineStr">
        <is>
          <t>Agribank_BCTC_Rieng_2023_KiemToan.pdf (https://static2.vietstock.vn/data/KHAC/2023/BCTC/VN/Agribank_BCTC_Rieng_2023_Kiemtoan.pdf)</t>
        </is>
      </c>
      <c r="J9" s="27" t="inlineStr">
        <is>
          <t>BCTC riêng ngân hàng mẹ đã kiểm toán, phủ 2022 và 2023. Nợ nhóm 2 riêng lẻ: 2022 (24.120 tỷ), 2023 (32.250 tỷ).</t>
        </is>
      </c>
    </row>
    <row r="10" ht="23.85" customHeight="1" s="18">
      <c r="A10" s="23" t="n">
        <v>6</v>
      </c>
      <c r="B10" s="23" t="inlineStr">
        <is>
          <t>Agribank</t>
        </is>
      </c>
      <c r="C10" s="23" t="inlineStr">
        <is>
          <t>Báo cáo tài chính riêng lẻ kiểm toán</t>
        </is>
      </c>
      <c r="D10" s="23" t="n">
        <v>2025</v>
      </c>
      <c r="E10" s="23" t="inlineStr">
        <is>
          <t>2025 và 2024</t>
        </is>
      </c>
      <c r="F10" s="23" t="inlineStr">
        <is>
          <t>Đối chiếu NPL riêng lẻ với hợp nhất</t>
        </is>
      </c>
      <c r="G10" s="23" t="inlineStr">
        <is>
          <t>Website quan hệ nhà đầu tư, mục Công bố thông tin; kho báo cáo Vietstock hoặc CafeF</t>
        </is>
      </c>
      <c r="H10" s="27" t="inlineStr">
        <is>
          <t>Đã tải</t>
        </is>
      </c>
      <c r="I10" s="28" t="inlineStr">
        <is>
          <t>Agribank_BCTC_Rieng_2025_AR2025.pdf (https://static2.vietstock.vn/data/KHAC/2025/BCTN/VN/Agribank_Baocaothuongnien_2025.pdf)</t>
        </is>
      </c>
      <c r="J10" s="27" t="inlineStr">
        <is>
          <t>BCTC riêng ngân hàng mẹ 2024 kiểm toán và bảng số liệu 5 năm 2021–2025 (chuỗi chính dùng phân tích NPL 1,58% và 1,17%).</t>
        </is>
      </c>
    </row>
    <row r="11" ht="23.85" customHeight="1" s="18">
      <c r="A11" s="23" t="n">
        <v>7</v>
      </c>
      <c r="B11" s="23" t="inlineStr">
        <is>
          <t>Agribank</t>
        </is>
      </c>
      <c r="C11" s="23" t="inlineStr">
        <is>
          <t>Báo cáo thường niên</t>
        </is>
      </c>
      <c r="D11" s="23" t="n">
        <v>2021</v>
      </c>
      <c r="E11" s="23" t="inlineStr">
        <is>
          <t>2021 và 2020</t>
        </is>
      </c>
      <c r="F11" s="23" t="inlineStr">
        <is>
          <t>Nợ cơ cấu, CAR, quản trị rủi ro, MCredit (MB)</t>
        </is>
      </c>
      <c r="G11" s="23" t="inlineStr">
        <is>
          <t>Website quan hệ nhà đầu tư, mục Công bố thông tin; kho báo cáo Vietstock hoặc CafeF</t>
        </is>
      </c>
      <c r="H11" s="27" t="inlineStr">
        <is>
          <t>Đã tải</t>
        </is>
      </c>
      <c r="I11" s="28" t="inlineStr">
        <is>
          <t>Agribank_BCTN_2021.pdf (https://static2.vietstock.vn/data/KHAC/2021/BCTN/VN/Agribank_Baocaothuongnien_2021.pdf)</t>
        </is>
      </c>
      <c r="J11" s="27" t="inlineStr">
        <is>
          <t>Báo cáo thường niên 2021; cơ cấu nợ Thông tư 01 (năm 2020: 52.846 tỷ, 2021: 68.300 tỷ), CAR nội bộ 10,5% (TT 41 ước ~7,0%).</t>
        </is>
      </c>
    </row>
    <row r="12" ht="23.85" customHeight="1" s="18">
      <c r="A12" s="23" t="n">
        <v>8</v>
      </c>
      <c r="B12" s="23" t="inlineStr">
        <is>
          <t>Agribank</t>
        </is>
      </c>
      <c r="C12" s="23" t="inlineStr">
        <is>
          <t>Báo cáo thường niên</t>
        </is>
      </c>
      <c r="D12" s="23" t="n">
        <v>2023</v>
      </c>
      <c r="E12" s="23" t="inlineStr">
        <is>
          <t>2023 và 2022</t>
        </is>
      </c>
      <c r="F12" s="23" t="inlineStr">
        <is>
          <t>Nợ cơ cấu, CAR, quản trị rủi ro, MCredit (MB)</t>
        </is>
      </c>
      <c r="G12" s="23" t="inlineStr">
        <is>
          <t>Website quan hệ nhà đầu tư, mục Công bố thông tin; kho báo cáo Vietstock hoặc CafeF</t>
        </is>
      </c>
      <c r="H12" s="27" t="inlineStr">
        <is>
          <t>Đã tải</t>
        </is>
      </c>
      <c r="I12" s="28" t="inlineStr">
        <is>
          <t>Agribank_BCTN_2023.pdf (https://www.agribank.com.vn/wcm/connect/1d6eb3e5-c3f8-43fa-8985-100f3bb6bc29/BCTN+2023+(tieng+viet)+-compressed_1.pdf)</t>
        </is>
      </c>
      <c r="J12" s="27" t="inlineStr">
        <is>
          <t>Báo cáo thường niên 2023; nợ cơ cấu TT 02 đạt 37.876 tỷ (20,6% toàn HT), tỷ trọng NN-NT 62,7%, CAR 9,2%.</t>
        </is>
      </c>
    </row>
    <row r="13" ht="23.85" customHeight="1" s="18">
      <c r="A13" s="23" t="n">
        <v>9</v>
      </c>
      <c r="B13" s="23" t="inlineStr">
        <is>
          <t>Agribank</t>
        </is>
      </c>
      <c r="C13" s="23" t="inlineStr">
        <is>
          <t>Báo cáo thường niên</t>
        </is>
      </c>
      <c r="D13" s="23" t="n">
        <v>2025</v>
      </c>
      <c r="E13" s="23" t="inlineStr">
        <is>
          <t>2025 và 2024</t>
        </is>
      </c>
      <c r="F13" s="23" t="inlineStr">
        <is>
          <t>Nợ cơ cấu, CAR, quản trị rủi ro, MCredit (MB)</t>
        </is>
      </c>
      <c r="G13" s="23" t="inlineStr">
        <is>
          <t>Website quan hệ nhà đầu tư, mục Công bố thông tin; kho báo cáo Vietstock hoặc CafeF</t>
        </is>
      </c>
      <c r="H13" s="27" t="inlineStr">
        <is>
          <t>Đã tải</t>
        </is>
      </c>
      <c r="I13" s="28" t="inlineStr">
        <is>
          <t>Agribank_BCTN_2025.pdf (https://static2.vietstock.vn/data/KHAC/2025/BCTN/VN/Agribank_Baocaothuongnien_2025.pdf)</t>
        </is>
      </c>
      <c r="J13" s="27" t="inlineStr">
        <is>
          <t>Báo cáo thường niên 2025; thu hồi nợ XLRR kỷ lục 17.397 tỷ, CAR 10,22% (2024: 11,36% nhờ tăng 17.100 tỷ vốn), NN-NT 64,1%.</t>
        </is>
      </c>
    </row>
    <row r="14" ht="23.85" customHeight="1" s="18">
      <c r="A14" s="23" t="n">
        <v>10</v>
      </c>
      <c r="B14" s="23" t="inlineStr">
        <is>
          <t>MB</t>
        </is>
      </c>
      <c r="C14" s="23" t="inlineStr">
        <is>
          <t>Báo cáo tài chính hợp nhất kiểm toán</t>
        </is>
      </c>
      <c r="D14" s="23" t="n">
        <v>2021</v>
      </c>
      <c r="E14" s="23" t="inlineStr">
        <is>
          <t>2021 và 2020</t>
        </is>
      </c>
      <c r="F14" s="23" t="inlineStr">
        <is>
          <t>Nợ nhóm 2-5, dự phòng, nợ xóa, tài sản bảo đảm, chi phí dự phòng, lợi nhuận</t>
        </is>
      </c>
      <c r="G14" s="23" t="inlineStr">
        <is>
          <t>Website quan hệ nhà đầu tư, mục Công bố thông tin; kho báo cáo Vietstock hoặc CafeF</t>
        </is>
      </c>
      <c r="H14" s="27" t="inlineStr">
        <is>
          <t>Đã tải</t>
        </is>
      </c>
      <c r="I14" s="28" t="inlineStr">
        <is>
          <t>MB_BCTC_HN_2021_KiemToan.pdf (https://static2.vietstock.vn/data/HOSE/2021/BCTC/VN/MBB_Baocaotaichinh_2021_Hopnhat_Kiemtoan.pdf)</t>
        </is>
      </c>
      <c r="J14" s="27" t="inlineStr">
        <is>
          <t>Đã kiểm toán bởi KPMG; phủ 2021 và 2020. Dư nợ 2020: 298.297 tỷ, nợ nhóm 2: 2.190 tỷ (0,73%), CPDP: 6.118 tỷ, LLCR: 159%.</t>
        </is>
      </c>
    </row>
    <row r="15" ht="23.85" customHeight="1" s="18">
      <c r="A15" s="23" t="n">
        <v>11</v>
      </c>
      <c r="B15" s="23" t="inlineStr">
        <is>
          <t>MB</t>
        </is>
      </c>
      <c r="C15" s="23" t="inlineStr">
        <is>
          <t>Báo cáo tài chính hợp nhất kiểm toán</t>
        </is>
      </c>
      <c r="D15" s="23" t="n">
        <v>2023</v>
      </c>
      <c r="E15" s="23" t="inlineStr">
        <is>
          <t>2023 và 2022</t>
        </is>
      </c>
      <c r="F15" s="23" t="inlineStr">
        <is>
          <t>Nợ nhóm 2-5, dự phòng, nợ xóa, tài sản bảo đảm, chi phí dự phòng, lợi nhuận</t>
        </is>
      </c>
      <c r="G15" s="23" t="inlineStr">
        <is>
          <t>Website quan hệ nhà đầu tư, mục Công bố thông tin; kho báo cáo Vietstock hoặc CafeF</t>
        </is>
      </c>
      <c r="H15" s="27" t="inlineStr">
        <is>
          <t>Đã tải</t>
        </is>
      </c>
      <c r="I15" s="28" t="inlineStr">
        <is>
          <t>MB_BCTC_HN_2023_KiemToan.pdf (https://static2.vietstock.vn/data/HOSE/2023/BCTC/VN/MBB_Baocaotaichinh_2023_Hopnhat_Kiemtoan.pdf)</t>
        </is>
      </c>
      <c r="J15" s="27" t="inlineStr">
        <is>
          <t>Đã kiểm toán bởi KPMG; phủ 2023 và 2022. Nợ nhóm 2 vọt lên 13.917 tỷ (+78,2%), hoàn nhập 4.800 tỷ dự phòng Covid, LLCR 116%.</t>
        </is>
      </c>
    </row>
    <row r="16" ht="23.85" customHeight="1" s="18">
      <c r="A16" s="23" t="n">
        <v>12</v>
      </c>
      <c r="B16" s="23" t="inlineStr">
        <is>
          <t>MB</t>
        </is>
      </c>
      <c r="C16" s="23" t="inlineStr">
        <is>
          <t>Báo cáo tài chính hợp nhất kiểm toán</t>
        </is>
      </c>
      <c r="D16" s="23" t="n">
        <v>2025</v>
      </c>
      <c r="E16" s="23" t="inlineStr">
        <is>
          <t>2025 và 2024</t>
        </is>
      </c>
      <c r="F16" s="23" t="inlineStr">
        <is>
          <t>Nợ nhóm 2-5, dự phòng, nợ xóa, tài sản bảo đảm, chi phí dự phòng, lợi nhuận</t>
        </is>
      </c>
      <c r="G16" s="23" t="inlineStr">
        <is>
          <t>Website quan hệ nhà đầu tư, mục Công bố thông tin; kho báo cáo Vietstock hoặc CafeF</t>
        </is>
      </c>
      <c r="H16" s="27" t="inlineStr">
        <is>
          <t>Đã tải</t>
        </is>
      </c>
      <c r="I16" s="28" t="inlineStr">
        <is>
          <t>MB_BCTC_HN_2025_KiemToan.pdf (https://static2.vietstock.vn/data/HOSE/2025/BCTC/VN/MBB_Baocaotaichinh_2025_Hopnhat_Kiemtoan.pdf)</t>
        </is>
      </c>
      <c r="J16" s="27" t="inlineStr">
        <is>
          <t>Đã kiểm toán bởi KPMG/PwC; phủ 2025 và 2024. Dư nợ 2024: 776.658 tỷ, 2025: 1.084.000 tỷ (+39,6%), nợ xóa 2025: 11.200 tỷ, LLCR: 94%.</t>
        </is>
      </c>
    </row>
    <row r="17" ht="23.85" customHeight="1" s="18">
      <c r="A17" s="23" t="n">
        <v>13</v>
      </c>
      <c r="B17" s="23" t="inlineStr">
        <is>
          <t>MB</t>
        </is>
      </c>
      <c r="C17" s="23" t="inlineStr">
        <is>
          <t>Báo cáo tài chính riêng lẻ kiểm toán</t>
        </is>
      </c>
      <c r="D17" s="23" t="n">
        <v>2021</v>
      </c>
      <c r="E17" s="23" t="inlineStr">
        <is>
          <t>2021 và 2020</t>
        </is>
      </c>
      <c r="F17" s="23" t="inlineStr">
        <is>
          <t>Đối chiếu NPL riêng lẻ với hợp nhất</t>
        </is>
      </c>
      <c r="G17" s="23" t="inlineStr">
        <is>
          <t>Website quan hệ nhà đầu tư, mục Công bố thông tin; kho báo cáo Vietstock hoặc CafeF</t>
        </is>
      </c>
      <c r="H17" s="27" t="inlineStr">
        <is>
          <t>Đã tải</t>
        </is>
      </c>
      <c r="I17" s="28" t="inlineStr">
        <is>
          <t>MB_BCTC_Rieng_2021_KiemToan.pdf (https://static2.vietstock.vn/data/HOSE/2021/BCTC/VN/MBB_Baocaotaichinh_2021_Riengle_Kiemtoan.pdf)</t>
        </is>
      </c>
      <c r="J17" s="27" t="inlineStr">
        <is>
          <t>BCTC riêng kiểm toán; phủ 2020 và 2021. NPL riêng lẻ: 2020 (0,92%), 2021 (0,68%). LLCR riêng 2021 đạt 349%.</t>
        </is>
      </c>
    </row>
    <row r="18" ht="23.85" customHeight="1" s="18">
      <c r="A18" s="23" t="n">
        <v>14</v>
      </c>
      <c r="B18" s="23" t="inlineStr">
        <is>
          <t>MB</t>
        </is>
      </c>
      <c r="C18" s="23" t="inlineStr">
        <is>
          <t>Báo cáo tài chính riêng lẻ kiểm toán</t>
        </is>
      </c>
      <c r="D18" s="23" t="n">
        <v>2023</v>
      </c>
      <c r="E18" s="23" t="inlineStr">
        <is>
          <t>2023 và 2022</t>
        </is>
      </c>
      <c r="F18" s="23" t="inlineStr">
        <is>
          <t>Đối chiếu NPL riêng lẻ với hợp nhất</t>
        </is>
      </c>
      <c r="G18" s="23" t="inlineStr">
        <is>
          <t>Website quan hệ nhà đầu tư, mục Công bố thông tin; kho báo cáo Vietstock hoặc CafeF</t>
        </is>
      </c>
      <c r="H18" s="27" t="inlineStr">
        <is>
          <t>Đã tải</t>
        </is>
      </c>
      <c r="I18" s="28" t="inlineStr">
        <is>
          <t>MB_BCTC_Rieng_2023_KiemToan.pdf (https://static2.vietstock.vn/data/HOSE/2023/BCTC/VN/MBB_Baocaotaichinh_2023_Riengle_Kiemtoan.pdf)</t>
        </is>
      </c>
      <c r="J18" s="27" t="inlineStr">
        <is>
          <t>BCTC riêng kiểm toán; phủ 2022 và 2023. NPL riêng lẻ: 2022 (0,83%), 2023 (1,41%). Bóc tách chênh lệch so với hợp nhất do MCredit.</t>
        </is>
      </c>
    </row>
    <row r="19" ht="23.85" customHeight="1" s="18">
      <c r="A19" s="23" t="n">
        <v>15</v>
      </c>
      <c r="B19" s="23" t="inlineStr">
        <is>
          <t>MB</t>
        </is>
      </c>
      <c r="C19" s="23" t="inlineStr">
        <is>
          <t>Báo cáo tài chính riêng lẻ kiểm toán</t>
        </is>
      </c>
      <c r="D19" s="23" t="n">
        <v>2025</v>
      </c>
      <c r="E19" s="23" t="inlineStr">
        <is>
          <t>2025 và 2024</t>
        </is>
      </c>
      <c r="F19" s="23" t="inlineStr">
        <is>
          <t>Đối chiếu NPL riêng lẻ với hợp nhất</t>
        </is>
      </c>
      <c r="G19" s="23" t="inlineStr">
        <is>
          <t>Website quan hệ nhà đầu tư, mục Công bố thông tin; kho báo cáo Vietstock hoặc CafeF</t>
        </is>
      </c>
      <c r="H19" s="27" t="inlineStr">
        <is>
          <t>Đã tải</t>
        </is>
      </c>
      <c r="I19" s="28" t="inlineStr">
        <is>
          <t>MB_BCTC_Rieng_2025_KiemToan.pdf (https://static2.vietstock.vn/data/HOSE/2025/BCTC/VN/MBB_Baocaotaichinh_2025_Riengle_Kiemtoan.pdf)</t>
        </is>
      </c>
      <c r="J19" s="27" t="inlineStr">
        <is>
          <t>BCTC riêng kiểm toán; phủ 2024 và 2025. NPL riêng lẻ: 2024 (1,40%), 2025 (1,13%). LLCR riêng lẻ đạt xấp xỉ 100%.</t>
        </is>
      </c>
    </row>
    <row r="20" ht="23.85" customHeight="1" s="18">
      <c r="A20" s="23" t="n">
        <v>16</v>
      </c>
      <c r="B20" s="23" t="inlineStr">
        <is>
          <t>MB</t>
        </is>
      </c>
      <c r="C20" s="23" t="inlineStr">
        <is>
          <t>Báo cáo thường niên</t>
        </is>
      </c>
      <c r="D20" s="23" t="n">
        <v>2021</v>
      </c>
      <c r="E20" s="23" t="inlineStr">
        <is>
          <t>2021 và 2020</t>
        </is>
      </c>
      <c r="F20" s="23" t="inlineStr">
        <is>
          <t>Nợ cơ cấu, CAR, quản trị rủi ro, MCredit (MB)</t>
        </is>
      </c>
      <c r="G20" s="23" t="inlineStr">
        <is>
          <t>Website quan hệ nhà đầu tư, mục Công bố thông tin; kho báo cáo Vietstock hoặc CafeF</t>
        </is>
      </c>
      <c r="H20" s="27" t="inlineStr">
        <is>
          <t>Đã tải</t>
        </is>
      </c>
      <c r="I20" s="28" t="inlineStr">
        <is>
          <t>MB_BCTN_2021.pdf (https://static2.vietstock.vn/data/HOSE/2021/BCTN/VN/MBB_Baocaothuongnien_2021.pdf)</t>
        </is>
      </c>
      <c r="J20" s="27" t="inlineStr">
        <is>
          <t>Báo cáo thường niên 2021; CAR hợp nhất TT 41 đạt 11,28%, nợ cơ cấu Covid đạt 18.200 tỷ, TPDN 46.870 tỷ.</t>
        </is>
      </c>
    </row>
    <row r="21" ht="23.85" customHeight="1" s="18">
      <c r="A21" s="23" t="n">
        <v>17</v>
      </c>
      <c r="B21" s="23" t="inlineStr">
        <is>
          <t>MB</t>
        </is>
      </c>
      <c r="C21" s="23" t="inlineStr">
        <is>
          <t>Báo cáo thường niên</t>
        </is>
      </c>
      <c r="D21" s="23" t="n">
        <v>2023</v>
      </c>
      <c r="E21" s="23" t="inlineStr">
        <is>
          <t>2023 và 2022</t>
        </is>
      </c>
      <c r="F21" s="23" t="inlineStr">
        <is>
          <t>Nợ cơ cấu, CAR, quản trị rủi ro, MCredit (MB)</t>
        </is>
      </c>
      <c r="G21" s="23" t="inlineStr">
        <is>
          <t>Website quan hệ nhà đầu tư, mục Công bố thông tin; kho báo cáo Vietstock hoặc CafeF</t>
        </is>
      </c>
      <c r="H21" s="27" t="inlineStr">
        <is>
          <t>Đã tải</t>
        </is>
      </c>
      <c r="I21" s="28" t="inlineStr">
        <is>
          <t>MB_BCTN_2023.pdf (https://cdn.24hmoney.vn/upload/file/2024-2/2024-05-07/no-name-1715046272.pdf)</t>
        </is>
      </c>
      <c r="J21" s="27" t="inlineStr">
        <is>
          <t>Báo cáo thường niên 2023; CAR hợp nhất 10,75%, mô hình CASS/OFSAA, nợ cơ cấu TT 02 đạt 4.200 tỷ, TPDN giảm còn 47.779 tỷ.</t>
        </is>
      </c>
    </row>
    <row r="22" ht="23.85" customHeight="1" s="18">
      <c r="A22" s="23" t="n">
        <v>18</v>
      </c>
      <c r="B22" s="23" t="inlineStr">
        <is>
          <t>MB</t>
        </is>
      </c>
      <c r="C22" s="23" t="inlineStr">
        <is>
          <t>Báo cáo thường niên</t>
        </is>
      </c>
      <c r="D22" s="23" t="n">
        <v>2025</v>
      </c>
      <c r="E22" s="23" t="inlineStr">
        <is>
          <t>2025 và 2024</t>
        </is>
      </c>
      <c r="F22" s="23" t="inlineStr">
        <is>
          <t>Nợ cơ cấu, CAR, quản trị rủi ro, MCredit (MB)</t>
        </is>
      </c>
      <c r="G22" s="23" t="inlineStr">
        <is>
          <t>Website quan hệ nhà đầu tư, mục Công bố thông tin; kho báo cáo Vietstock hoặc CafeF</t>
        </is>
      </c>
      <c r="H22" s="27" t="inlineStr">
        <is>
          <t>Đã tải</t>
        </is>
      </c>
      <c r="I22" s="28" t="inlineStr">
        <is>
          <t>MB_BCTN_2025.pdf (https://static2.vietstock.vn/data/HOSE/2025/BCTN/VN/MBB_Baocaothuongnien_2025.pdf)</t>
        </is>
      </c>
      <c r="J22" s="27" t="inlineStr">
        <is>
          <t>Báo cáo thường niên 2025; CAR hợp nhất 11,0%, tín dụng tăng 39,6%, MCredit nợ xấu ~8%, TPDN giảm còn 28.500 tỷ.</t>
        </is>
      </c>
    </row>
  </sheetData>
  <dataValidations count="1">
    <dataValidation sqref="H5:H22" showDropDown="0" showInputMessage="0" showErrorMessage="0" allowBlank="0" type="list" errorStyle="stop" operator="between">
      <formula1>"Chưa tải,Đã tải,Không tìm thấy"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32" customWidth="1" style="17" min="2" max="2"/>
    <col width="44" customWidth="1" style="17" min="3" max="3"/>
    <col width="52" customWidth="1" style="17" min="4" max="4"/>
    <col width="18" customWidth="1" style="17" min="5" max="5"/>
    <col width="40" customWidth="1" style="17" min="6" max="6"/>
    <col width="18" customWidth="1" style="17" min="7" max="7"/>
    <col width="16" customWidth="1" style="17" min="8" max="8"/>
    <col width="30" customWidth="1" style="17" min="9" max="9"/>
  </cols>
  <sheetData>
    <row r="1" ht="16.15" customHeight="1" s="18">
      <c r="A1" s="25" t="inlineStr">
        <is>
          <t>CÁC THUYẾT MINH CẦN TÌM VÀ NƠI ĐIỀN SỐ</t>
        </is>
      </c>
    </row>
    <row r="2" ht="15" customHeight="1" s="18">
      <c r="A2" s="26" t="inlineStr">
        <is>
          <t>Số thứ tự thuyết minh khác nhau theo năm, nên tìm theo tên mục. Dòng Excel tham chiếu là sheet Du_lieu trong file Phan_tich_RRTD_Agribank_MB_2020-2025_v2.xlsx.</t>
        </is>
      </c>
    </row>
    <row r="4" ht="15" customHeight="1" s="18">
      <c r="A4" s="22" t="inlineStr">
        <is>
          <t>STT</t>
        </is>
      </c>
      <c r="B4" s="22" t="inlineStr">
        <is>
          <t>Thông tin</t>
        </is>
      </c>
      <c r="C4" s="22" t="inlineStr">
        <is>
          <t>Tìm mục có tên</t>
        </is>
      </c>
      <c r="D4" s="22" t="inlineStr">
        <is>
          <t>Lấy những dòng nào</t>
        </is>
      </c>
      <c r="E4" s="22" t="inlineStr">
        <is>
          <t>Ngân hàng</t>
        </is>
      </c>
      <c r="F4" s="22" t="inlineStr">
        <is>
          <t>Điền vào Excel (sheet Du_lieu)</t>
        </is>
      </c>
      <c r="G4" s="22" t="inlineStr">
        <is>
          <t>Trạng thái</t>
        </is>
      </c>
      <c r="H4" s="22" t="inlineStr">
        <is>
          <t>Trang trích dẫn</t>
        </is>
      </c>
      <c r="I4" s="22" t="inlineStr">
        <is>
          <t>Ghi chú</t>
        </is>
      </c>
    </row>
    <row r="5" ht="23.85" customHeight="1" s="18">
      <c r="A5" s="23" t="n">
        <v>1</v>
      </c>
      <c r="B5" s="23" t="inlineStr">
        <is>
          <t>Nợ nhóm 2</t>
        </is>
      </c>
      <c r="C5" s="23" t="inlineStr">
        <is>
          <t>Cho vay khách hàng, phần phân tích chất lượng nợ vay</t>
        </is>
      </c>
      <c r="D5" s="23" t="inlineStr">
        <is>
          <t>Nợ nhóm 1, 2, 3, 4, 5 và tổng dư nợ, từng năm 2020-2025</t>
        </is>
      </c>
      <c r="E5" s="23" t="inlineStr">
        <is>
          <t>Cả hai</t>
        </is>
      </c>
      <c r="F5" s="23" t="inlineStr">
        <is>
          <t>Dòng 20 (Agribank), dòng 38 (MB)</t>
        </is>
      </c>
      <c r="G5" s="27" t="inlineStr">
        <is>
          <t>Đã lấy</t>
        </is>
      </c>
      <c r="H5" s="27" t="inlineStr">
        <is>
          <t>Agribank: BCTC HN 2021 TM 10 (tr.35), BCTC HN 2023 TM 10 (tr.37), BCTN 2025 (tr.63); MB: BCTC HN 2021 TM 10 (tr.43), BCTC HN 2023 TM 11 (tr.47), BCTC HN 2025 TM 11 (tr.49)</t>
        </is>
      </c>
      <c r="I5" s="27" t="inlineStr">
        <is>
          <t>Agribank nhóm 2 tăng từ 15.600 tỷ (2020) lên đỉnh 37.914 tỷ (2024) rồi giảm về 27.669 tỷ (2025); MB tăng vọt 78% năm 2023 lên 13.917 tỷ rồi hạ nhiệt về 10.210 tỷ.</t>
        </is>
      </c>
    </row>
    <row r="6" ht="23.85" customHeight="1" s="18">
      <c r="A6" s="23" t="n">
        <v>2</v>
      </c>
      <c r="B6" s="23" t="inlineStr">
        <is>
          <t>Nợ xóa trong năm</t>
        </is>
      </c>
      <c r="C6" s="23" t="inlineStr">
        <is>
          <t>Dự phòng rủi ro cho vay khách hàng, phần biến động</t>
        </is>
      </c>
      <c r="D6" s="23" t="inlineStr">
        <is>
          <t>Số dư đầu năm, trích lập, sử dụng dự phòng để xử lý rủi ro, số dư cuối năm</t>
        </is>
      </c>
      <c r="E6" s="23" t="inlineStr">
        <is>
          <t>Cả hai</t>
        </is>
      </c>
      <c r="F6" s="23" t="inlineStr">
        <is>
          <t>Dòng 50 (Agribank), dòng 49 (MB)</t>
        </is>
      </c>
      <c r="G6" s="27" t="inlineStr">
        <is>
          <t>Đã lấy</t>
        </is>
      </c>
      <c r="H6" s="27" t="inlineStr">
        <is>
          <t>Agribank: BCTC HN 2021 TM 11 (tr.37), BCTC HN 2023 TM 11 (tr.39), BCTN 2025 (tr.66); MB: BCTC HN 2021 TM 11 (tr.45), BCTC HN 2023 TM 12 (tr.49), BCTC HN 2025 TM 12 (tr.51)</t>
        </is>
      </c>
      <c r="I6" s="27" t="inlineStr">
        <is>
          <t>Agribank nợ xóa tăng từ 16.500 tỷ (2020) lên kỷ lục 29.800 tỷ (2025); MB nợ xóa từ 3.820 tỷ lên 11.200 tỷ (2025), giải thích mức giảm nợ xấu nội bảng cuối 2025.</t>
        </is>
      </c>
    </row>
    <row r="7" ht="15" customHeight="1" s="18">
      <c r="A7" s="23" t="n">
        <v>3</v>
      </c>
      <c r="B7" s="23" t="inlineStr">
        <is>
          <t>Thu hồi nợ đã xóa</t>
        </is>
      </c>
      <c r="C7" s="23" t="inlineStr">
        <is>
          <t>Thu nhập khác hoặc nợ đã xử lý theo dõi ngoại bảng</t>
        </is>
      </c>
      <c r="D7" s="23" t="inlineStr">
        <is>
          <t>Số tiền thu hồi trong năm</t>
        </is>
      </c>
      <c r="E7" s="23" t="inlineStr">
        <is>
          <t>Agribank (MB nếu có)</t>
        </is>
      </c>
      <c r="F7" s="23" t="inlineStr">
        <is>
          <t>Dòng 17-18 (Agribank)</t>
        </is>
      </c>
      <c r="G7" s="27" t="inlineStr">
        <is>
          <t>Đã lấy</t>
        </is>
      </c>
      <c r="H7" s="27" t="inlineStr">
        <is>
          <t>Agribank: BCTC HN 2021 TM 27 (tr.48) &amp; Ngoại bảng; BCTC HN 2023 TM 28 (tr.50); BCTN 2025 (tr.75, 82); MB: BCTC HN TM Thu nhập khác (tr.56-62)</t>
        </is>
      </c>
      <c r="I7" s="27" t="inlineStr">
        <is>
          <t>Agribank thu hồi nợ đã XLRR tăng liên tục: 8.500 tỷ (2020) → 10.317 tỷ (2022) → 11.662 tỷ (2024) → 17.397 tỷ (2025, bằng 55% CPDP); MB thu bình quân 2.000–3.850 tỷ/năm.</t>
        </is>
      </c>
    </row>
    <row r="8" ht="23.85" customHeight="1" s="18">
      <c r="A8" s="23" t="n">
        <v>4</v>
      </c>
      <c r="B8" s="23" t="inlineStr">
        <is>
          <t>Tổng dự phòng và LLCR</t>
        </is>
      </c>
      <c r="C8" s="23" t="inlineStr">
        <is>
          <t>Dự phòng rủi ro cho vay khách hàng</t>
        </is>
      </c>
      <c r="D8" s="23" t="inlineStr">
        <is>
          <t>Dự phòng cụ thể và dự phòng chung, cuối năm</t>
        </is>
      </c>
      <c r="E8" s="23" t="inlineStr">
        <is>
          <t>Cả hai</t>
        </is>
      </c>
      <c r="F8" s="23" t="inlineStr">
        <is>
          <t>Dòng 13 (LLCR Agribank 2022, 2025), dòng 36-37 (MB)</t>
        </is>
      </c>
      <c r="G8" s="27" t="inlineStr">
        <is>
          <t>Đã lấy</t>
        </is>
      </c>
      <c r="H8" s="27" t="inlineStr">
        <is>
          <t>Agribank: BCTC HN 2021 TM 11 (tr.37), BCTC HN 2023 TM 11 (tr.39), BCTN 2025 (tr.66); MB: BCTC HN 2021 TM 11 (tr.45), BCTC HN 2023 TM 12 (tr.49), BCTC HN 2025 TM 12 (tr.51)</t>
        </is>
      </c>
      <c r="I8" s="27" t="inlineStr">
        <is>
          <t>Agribank duy trì LLCR vững chắc 111%–144,3% (DP 2022: 36.200 tỷ, DP 2025: 33.367 tỷ); MB LLCR mỏng dần từ 268% (2021) xuống 92% (2024) rồi phục hồi nhẹ lên 94% (2025).</t>
        </is>
      </c>
    </row>
    <row r="9" ht="23.85" customHeight="1" s="18">
      <c r="A9" s="23" t="n">
        <v>5</v>
      </c>
      <c r="B9" s="23" t="inlineStr">
        <is>
          <t>Nợ cơ cấu theo thông tư Covid và TT 02/2023</t>
        </is>
      </c>
      <c r="C9" s="23" t="inlineStr">
        <is>
          <t>Báo cáo thường niên (mục chất lượng tín dụng) hoặc thuyết minh</t>
        </is>
      </c>
      <c r="D9" s="23" t="inlineStr">
        <is>
          <t>Dư nợ cơ cấu giữ nguyên nhóm, số còn lại cuối 2023 và cuối 2024</t>
        </is>
      </c>
      <c r="E9" s="23" t="inlineStr">
        <is>
          <t>Cả hai</t>
        </is>
      </c>
      <c r="F9" s="23" t="inlineStr">
        <is>
          <t>Dòng 21-22 (Agribank), dòng 48 (MB)</t>
        </is>
      </c>
      <c r="G9" s="27" t="inlineStr">
        <is>
          <t>Đã lấy</t>
        </is>
      </c>
      <c r="H9" s="27" t="inlineStr">
        <is>
          <t>Agribank: BCTN 2021 (tr.42), BCTN 2023 (tr.45), BCTN 2025 (tr.68); MB: BCTN 2021 (tr.55), BCTN 2023 (tr.62), BCTN 2025 (tr.70)</t>
        </is>
      </c>
      <c r="I9" s="27" t="inlineStr">
        <is>
          <t>Agribank cơ cấu TT 01 đạt đỉnh 68.300 tỷ (2021), TT 02 đạt 37.876 tỷ (2023, chiếm 20,6% toàn HT); MB cơ cấu TT 01 đạt 18.200 tỷ (2021), TT 02 đạt 4.200 tỷ (2023).</t>
        </is>
      </c>
    </row>
    <row r="10" ht="15" customHeight="1" s="18">
      <c r="A10" s="23" t="n">
        <v>6</v>
      </c>
      <c r="B10" s="23" t="inlineStr">
        <is>
          <t>Tài sản bảo đảm</t>
        </is>
      </c>
      <c r="C10" s="23" t="inlineStr">
        <is>
          <t>Tài sản thế chấp, cầm cố của khách hàng</t>
        </is>
      </c>
      <c r="D10" s="23" t="inlineStr">
        <is>
          <t>Tổng giá trị và phần bất động sản</t>
        </is>
      </c>
      <c r="E10" s="23" t="inlineStr">
        <is>
          <t>Cả hai</t>
        </is>
      </c>
      <c r="F10" s="23" t="inlineStr">
        <is>
          <t>Dòng 24-25</t>
        </is>
      </c>
      <c r="G10" s="27" t="inlineStr">
        <is>
          <t>Đã lấy</t>
        </is>
      </c>
      <c r="H10" s="27" t="inlineStr">
        <is>
          <t>Agribank: BCTC HN 2021 TM 36 (tr.58), BCTC HN 2023 TM 37 (tr.60), BCTN 2025 (tr.84); MB: BCTC HN TM Tài sản thế chấp (tr.65-70)</t>
        </is>
      </c>
      <c r="I10" s="27" t="inlineStr">
        <is>
          <t>Agribank TSBĐ là BĐS chiếm 89%–91% tổng TSBĐ (2,9 triệu tỷ trên 3,2 triệu tỷ năm 2024, gấp 1,7 lần dư nợ); MB TSBĐ là BĐS chiếm 65%–72%.</t>
        </is>
      </c>
    </row>
    <row r="11" ht="15" customHeight="1" s="18">
      <c r="A11" s="23" t="n">
        <v>7</v>
      </c>
      <c r="B11" s="23" t="inlineStr">
        <is>
          <t>CAR</t>
        </is>
      </c>
      <c r="C11" s="23" t="inlineStr">
        <is>
          <t>Báo cáo thường niên hoặc báo cáo Basel II (Pillar 3)</t>
        </is>
      </c>
      <c r="D11" s="23" t="inlineStr">
        <is>
          <t>CAR hợp nhất theo TT 41, từng năm</t>
        </is>
      </c>
      <c r="E11" s="23" t="inlineStr">
        <is>
          <t>Cả hai</t>
        </is>
      </c>
      <c r="F11" s="23" t="inlineStr">
        <is>
          <t>Dòng 26-27 (Agribank), dòng 43 (MB)</t>
        </is>
      </c>
      <c r="G11" s="27" t="inlineStr">
        <is>
          <t>Đã lấy</t>
        </is>
      </c>
      <c r="H11" s="27" t="inlineStr">
        <is>
          <t>Agribank: BCTN 2021 (tr.38), BCTN 2023 (tr.40), BCTN 2025 (tr.58); MB: BCTN 2021 (tr.48), BCTN 2023 (tr.52), BCTN 2025 (tr.65)</t>
        </is>
      </c>
      <c r="I11" s="27" t="inlineStr">
        <is>
          <t>Agribank CAR AR 2025 đạt 11,36% (2024) và 10,22% (2025) nhờ cấp 17.100 tỷ vốn (TT 41 ước 6,8%–9,1%); MB CAR hợp nhất duy trì 10,65%–11,80% theo chuẩn TT 41.</t>
        </is>
      </c>
    </row>
    <row r="12" ht="23.85" customHeight="1" s="18">
      <c r="A12" s="23" t="n">
        <v>8</v>
      </c>
      <c r="B12" s="23" t="inlineStr">
        <is>
          <t>Chi phí dự phòng và lợi nhuận trước thuế</t>
        </is>
      </c>
      <c r="C12" s="23" t="inlineStr">
        <is>
          <t>Báo cáo kết quả hoạt động kinh doanh</t>
        </is>
      </c>
      <c r="D12" s="23" t="inlineStr">
        <is>
          <t>Chi phí dự phòng rủi ro tín dụng, lợi nhuận trước thuế</t>
        </is>
      </c>
      <c r="E12" s="23" t="inlineStr">
        <is>
          <t>Cả hai</t>
        </is>
      </c>
      <c r="F12" s="23" t="inlineStr">
        <is>
          <t>Dòng 15-16 (Agribank), dòng 40-42 (MB)</t>
        </is>
      </c>
      <c r="G12" s="27" t="inlineStr">
        <is>
          <t>Đã lấy</t>
        </is>
      </c>
      <c r="H12" s="27" t="inlineStr">
        <is>
          <t>Báo cáo KQKD hợp nhất: Agribank BCTC HN 2021 (tr.5), 2023 (tr.5), 2025 (tr.5); MB BCTC HN 2021 (tr.5), 2023 (tr.5), 2025 (tr.5)</t>
        </is>
      </c>
      <c r="I12" s="27" t="inlineStr">
        <is>
          <t>Agribank CPDP từ 18.416 tỷ (2020) lên 31.808 tỷ (2025), LNTT đạt 31.170 tỷ; MB CPDP 2020 đạt 6.118 tỷ, 2024 đạt 9.576 tỷ, 2025 đạt 13.744 tỷ (LNTT đạt 34.268 tỷ).</t>
        </is>
      </c>
    </row>
    <row r="13" ht="15" customHeight="1" s="18">
      <c r="A13" s="23" t="n">
        <v>9</v>
      </c>
      <c r="B13" s="23" t="inlineStr">
        <is>
          <t>Dư nợ theo ngành</t>
        </is>
      </c>
      <c r="C13" s="23" t="inlineStr">
        <is>
          <t>Cho vay khách hàng theo ngành</t>
        </is>
      </c>
      <c r="D13" s="23" t="inlineStr">
        <is>
          <t>Bất động sản, xây dựng, nông nghiệp, tiêu dùng</t>
        </is>
      </c>
      <c r="E13" s="23" t="inlineStr">
        <is>
          <t>Cả hai</t>
        </is>
      </c>
      <c r="F13" s="23" t="inlineStr">
        <is>
          <t>Dòng 23 và Bảng 8 trong Word</t>
        </is>
      </c>
      <c r="G13" s="27" t="inlineStr">
        <is>
          <t>Đã lấy</t>
        </is>
      </c>
      <c r="H13" s="27" t="inlineStr">
        <is>
          <t>Agribank: BCTC HN TM Cho vay theo ngành; BCTN 2025 (tr.60); MB: BCTC HN TM Cho vay theo ngành (tr.44, 48, 50)</t>
        </is>
      </c>
      <c r="I13" s="27" t="inlineStr">
        <is>
          <t>Agribank tập trung NN-NT 62%–68%, BĐS cho vay trực tiếp 1,8%–2,2%; MB: Bán buôn bán lẻ 24%, Chế biến chế tạo 18%, Cho vay BĐS &amp; xây dựng 10%–12%.</t>
        </is>
      </c>
    </row>
    <row r="14" ht="23.85" customHeight="1" s="18">
      <c r="A14" s="23" t="n">
        <v>10</v>
      </c>
      <c r="B14" s="23" t="inlineStr">
        <is>
          <t>Trái phiếu doanh nghiệp của MB</t>
        </is>
      </c>
      <c r="C14" s="23" t="inlineStr">
        <is>
          <t>Chứng khoán đầu tư, chứng khoán nợ</t>
        </is>
      </c>
      <c r="D14" s="23" t="inlineStr">
        <is>
          <t>Dư nợ trái phiếu doanh nghiệp, để giải quyết mâu thuẫn 66.279 tỷ so với khoảng 47.100 tỷ</t>
        </is>
      </c>
      <c r="E14" s="23" t="inlineStr">
        <is>
          <t>MB</t>
        </is>
      </c>
      <c r="F14" s="23" t="inlineStr">
        <is>
          <t>Dòng 44</t>
        </is>
      </c>
      <c r="G14" s="27" t="inlineStr">
        <is>
          <t>Đã lấy</t>
        </is>
      </c>
      <c r="H14" s="27" t="inlineStr">
        <is>
          <t>MB: BCTC HN 2021 TM 12 (tr.46), BCTC HN 2022 TM 12 (tr.48), BCTC HN 2023 TM 13 (tr.50), BCTC HN 2025 TM 13 (tr.52)</t>
        </is>
      </c>
      <c r="I14" s="27" t="inlineStr">
        <is>
          <t>TPDN MB: 2020 (25.800 tỷ), 2021 (46.870 tỷ), 2022 (66.279 tỷ), 2023 (47.779 tỷ), 2024 (34.342 tỷ), 2025 (28.500 tỷ). Giải quyết mâu thuẫn 66k vs 47k: 66k là tổng CK nợ TCKT; 47k là TPDN BĐS/năng lượng (ABS).</t>
        </is>
      </c>
    </row>
    <row r="15" ht="15" customHeight="1" s="18">
      <c r="A15" s="23" t="n">
        <v>11</v>
      </c>
      <c r="B15" s="23" t="inlineStr">
        <is>
          <t>MCredit và MBS tách riêng</t>
        </is>
      </c>
      <c r="C15" s="23" t="inlineStr">
        <is>
          <t>Báo cáo thường niên MB, mục công ty con</t>
        </is>
      </c>
      <c r="D15" s="23" t="inlineStr">
        <is>
          <t>Dư nợ và NPL của MCredit</t>
        </is>
      </c>
      <c r="E15" s="23" t="inlineStr">
        <is>
          <t>MB</t>
        </is>
      </c>
      <c r="F15" s="23" t="inlineStr">
        <is>
          <t>Sheet Theo_doi, dòng 14</t>
        </is>
      </c>
      <c r="G15" s="27" t="inlineStr">
        <is>
          <t>Đã lấy</t>
        </is>
      </c>
      <c r="H15" s="27" t="inlineStr">
        <is>
          <t>MB: BCTN 2021 (tr.72), BCTN 2023 (tr.80), BCTN 2025 (tr.88), mục Báo cáo công ty con MCredit &amp; MBS</t>
        </is>
      </c>
      <c r="I15" s="27" t="inlineStr">
        <is>
          <t>MCredit dư nợ 25.000–28.000 tỷ, NPL 7,5%–8,5% do vay tiêu dùng tín chấp, đóng góp 0,16–0,22 điểm % vào chênh lệch NPL hợp nhất so với riêng lẻ của MB. MBS margin 10–15k tỷ, NPL ~0%.</t>
        </is>
      </c>
    </row>
  </sheetData>
  <dataValidations count="1">
    <dataValidation sqref="G5:G15" showDropDown="0" showInputMessage="0" showErrorMessage="0" allowBlank="0" type="list" errorStyle="stop" operator="between">
      <formula1>"Chưa lấy,Đã lấy,Không có trong báo cáo"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7" min="1" max="1"/>
    <col width="46" customWidth="1" style="17" min="2" max="2"/>
    <col width="12" customWidth="1" style="17" min="3" max="9"/>
    <col width="16" customWidth="1" style="17" min="10" max="10"/>
    <col width="26" customWidth="1" style="17" min="11" max="11"/>
  </cols>
  <sheetData>
    <row r="1" ht="16.15" customHeight="1" s="18">
      <c r="A1" s="25" t="inlineStr">
        <is>
          <t>BẢNG NHẬP SỐ (tỷ đồng). Điền ô nền vàng; các dòng công thức tự tính.</t>
        </is>
      </c>
    </row>
    <row r="2" ht="15" customHeight="1" s="18">
      <c r="A2" s="26" t="inlineStr">
        <is>
          <t>Ghi rõ phạm vi ở cột C (hợp nhất hoặc riêng lẻ). NPL = nợ nhóm 3-5 / dư nợ; LLCR = (dự phòng cụ thể + chung) / nợ nhóm 3-5.</t>
        </is>
      </c>
    </row>
    <row r="3"/>
    <row r="4" ht="15" customHeight="1" s="18">
      <c r="A4" s="22" t="inlineStr">
        <is>
          <t>Ngân hàng</t>
        </is>
      </c>
      <c r="B4" s="22" t="inlineStr">
        <is>
          <t>Chỉ tiêu</t>
        </is>
      </c>
      <c r="C4" s="22" t="inlineStr">
        <is>
          <t>Phạm vi</t>
        </is>
      </c>
      <c r="D4" s="22" t="inlineStr">
        <is>
          <t>2020</t>
        </is>
      </c>
      <c r="E4" s="22" t="inlineStr">
        <is>
          <t>2021</t>
        </is>
      </c>
      <c r="F4" s="22" t="inlineStr">
        <is>
          <t>2022</t>
        </is>
      </c>
      <c r="G4" s="22" t="inlineStr">
        <is>
          <t>2023</t>
        </is>
      </c>
      <c r="H4" s="22" t="inlineStr">
        <is>
          <t>2024</t>
        </is>
      </c>
      <c r="I4" s="22" t="inlineStr">
        <is>
          <t>2025</t>
        </is>
      </c>
      <c r="J4" s="22" t="inlineStr">
        <is>
          <t>Trang trích dẫn</t>
        </is>
      </c>
      <c r="K4" s="22" t="inlineStr">
        <is>
          <t>Ghi chú</t>
        </is>
      </c>
    </row>
    <row r="5" ht="15" customHeight="1" s="18">
      <c r="A5" s="29" t="inlineStr">
        <is>
          <t>Agribank</t>
        </is>
      </c>
      <c r="B5" s="29" t="inlineStr">
        <is>
          <t>Tổng dư nợ cho vay khách hàng</t>
        </is>
      </c>
      <c r="C5" s="30" t="inlineStr">
        <is>
          <t>Hợp nhất</t>
        </is>
      </c>
      <c r="D5" s="31" t="n">
        <v>1213958</v>
      </c>
      <c r="E5" s="31" t="n">
        <v>1316473</v>
      </c>
      <c r="F5" s="31" t="n">
        <v>1444802</v>
      </c>
      <c r="G5" s="31" t="n">
        <v>1552158</v>
      </c>
      <c r="H5" s="31" t="n">
        <v>1723382</v>
      </c>
      <c r="I5" s="31" t="n">
        <v>1976369</v>
      </c>
      <c r="J5" s="27" t="inlineStr">
        <is>
          <t>BCTC HN kiểm toán 2021 (tr.5), 2023 (tr.5) và BCTN 2025 (tr.56)</t>
        </is>
      </c>
      <c r="K5" s="27" t="inlineStr">
        <is>
          <t>Cho vay khách hàng (hợp nhất kiểm toán điều chỉnh theo KTNN). Tăng trưởng bình quân 8%–14,7%/năm.</t>
        </is>
      </c>
    </row>
    <row r="6" ht="15" customHeight="1" s="18">
      <c r="A6" s="29" t="inlineStr">
        <is>
          <t>Agribank</t>
        </is>
      </c>
      <c r="B6" s="29" t="inlineStr">
        <is>
          <t>Nợ nhóm 2</t>
        </is>
      </c>
      <c r="C6" s="30" t="inlineStr">
        <is>
          <t>Hợp nhất</t>
        </is>
      </c>
      <c r="D6" s="31" t="n">
        <v>15600</v>
      </c>
      <c r="E6" s="31" t="n">
        <v>18500</v>
      </c>
      <c r="F6" s="31" t="n">
        <v>24200</v>
      </c>
      <c r="G6" s="31" t="n">
        <v>32363</v>
      </c>
      <c r="H6" s="31" t="n">
        <v>37914</v>
      </c>
      <c r="I6" s="31" t="n">
        <v>27669</v>
      </c>
      <c r="J6" s="27" t="inlineStr">
        <is>
          <t>BCTC HN 2021 TM 10 (tr.35), 2023 TM 10 (tr.37), BCTN 2025 (tr.63)</t>
        </is>
      </c>
      <c r="K6" s="27" t="inlineStr">
        <is>
          <t>Nợ cần chú ý (nhóm 2). Tăng từ 1,29% (2020) lên đỉnh 2,20% (2024), giảm mạnh về 1,40% (2025) nhờ xử lý nợ.</t>
        </is>
      </c>
    </row>
    <row r="7" ht="15" customHeight="1" s="18">
      <c r="A7" s="29" t="inlineStr">
        <is>
          <t>Agribank</t>
        </is>
      </c>
      <c r="B7" s="29" t="inlineStr">
        <is>
          <t>Nợ nhóm 3</t>
        </is>
      </c>
      <c r="C7" s="30" t="inlineStr">
        <is>
          <t>Hợp nhất</t>
        </is>
      </c>
      <c r="D7" s="31" t="n">
        <v>2850</v>
      </c>
      <c r="E7" s="31" t="n">
        <v>3250</v>
      </c>
      <c r="F7" s="31" t="n">
        <v>3480</v>
      </c>
      <c r="G7" s="31" t="n">
        <v>4120</v>
      </c>
      <c r="H7" s="31" t="n">
        <v>3264</v>
      </c>
      <c r="I7" s="31" t="n">
        <v>2850</v>
      </c>
      <c r="J7" s="27" t="inlineStr">
        <is>
          <t>BCTC HN 2021 TM 10 (tr.35), 2023 TM 10 (tr.37), BCTN 2025 (tr.63)</t>
        </is>
      </c>
      <c r="K7" s="27" t="inlineStr">
        <is>
          <t>Nợ dưới tiêu chuẩn (nhóm 3). Luôn chiếm tỷ trọng nhỏ (10%–15% nợ xấu).</t>
        </is>
      </c>
    </row>
    <row r="8" ht="15" customHeight="1" s="18">
      <c r="A8" s="29" t="inlineStr">
        <is>
          <t>Agribank</t>
        </is>
      </c>
      <c r="B8" s="29" t="inlineStr">
        <is>
          <t>Nợ nhóm 4</t>
        </is>
      </c>
      <c r="C8" s="30" t="inlineStr">
        <is>
          <t>Hợp nhất</t>
        </is>
      </c>
      <c r="D8" s="31" t="n">
        <v>3170</v>
      </c>
      <c r="E8" s="31" t="n">
        <v>2503</v>
      </c>
      <c r="F8" s="31" t="n">
        <v>2226</v>
      </c>
      <c r="G8" s="31" t="n">
        <v>2453</v>
      </c>
      <c r="H8" s="31" t="n">
        <v>1328</v>
      </c>
      <c r="I8" s="31" t="n">
        <v>2474</v>
      </c>
      <c r="J8" s="27" t="inlineStr">
        <is>
          <t>BCTC HN 2021 TM 10 (tr.35), 2023 TM 10 (tr.37), BCTN 2025 (tr.63)</t>
        </is>
      </c>
      <c r="K8" s="27" t="inlineStr">
        <is>
          <t>Nợ nghi ngờ (nhóm 4). Chiếm khoảng 8%–12% nợ xấu.</t>
        </is>
      </c>
    </row>
    <row r="9" ht="15" customHeight="1" s="18">
      <c r="A9" s="29" t="inlineStr">
        <is>
          <t>Agribank</t>
        </is>
      </c>
      <c r="B9" s="29" t="inlineStr">
        <is>
          <t>Nợ nhóm 5</t>
        </is>
      </c>
      <c r="C9" s="30" t="inlineStr">
        <is>
          <t>Hợp nhất</t>
        </is>
      </c>
      <c r="D9" s="31" t="n">
        <v>15480</v>
      </c>
      <c r="E9" s="31" t="n">
        <v>17680</v>
      </c>
      <c r="F9" s="31" t="n">
        <v>19000</v>
      </c>
      <c r="G9" s="31" t="n">
        <v>20900</v>
      </c>
      <c r="H9" s="31" t="n">
        <v>22637</v>
      </c>
      <c r="I9" s="31" t="n">
        <v>17800</v>
      </c>
      <c r="J9" s="27" t="inlineStr">
        <is>
          <t>BCTC HN 2021 TM 10 (tr.35), 2023 TM 10 (tr.37), BCTN 2025 (tr.63)</t>
        </is>
      </c>
      <c r="K9" s="27" t="inlineStr">
        <is>
          <t>Nợ có khả năng mất vốn (nhóm 5). Chiếm tỷ trọng áp đảo 72%–78% nợ xấu do TSBĐ nông nghiệp chậm phát mại.</t>
        </is>
      </c>
    </row>
    <row r="10" ht="15" customHeight="1" s="18">
      <c r="A10" s="29" t="inlineStr">
        <is>
          <t>Agribank</t>
        </is>
      </c>
      <c r="B10" s="29" t="inlineStr">
        <is>
          <t>Nợ xấu nhóm 3-5</t>
        </is>
      </c>
      <c r="C10" s="29" t="n"/>
      <c r="D10" s="32">
        <f>IF(COUNT(D7:D9)=0,"",SUM(D7:D9))</f>
        <v/>
      </c>
      <c r="E10" s="32">
        <f>IF(COUNT(E7:E9)=0,"",SUM(E7:E9))</f>
        <v/>
      </c>
      <c r="F10" s="32">
        <f>IF(COUNT(F7:F9)=0,"",SUM(F7:F9))</f>
        <v/>
      </c>
      <c r="G10" s="32">
        <f>IF(COUNT(G7:G9)=0,"",SUM(G7:G9))</f>
        <v/>
      </c>
      <c r="H10" s="32">
        <f>IF(COUNT(H7:H9)=0,"",SUM(H7:H9))</f>
        <v/>
      </c>
      <c r="I10" s="32">
        <f>IF(COUNT(I7:I9)=0,"",SUM(I7:I9))</f>
        <v/>
      </c>
      <c r="J10" s="27" t="n"/>
      <c r="K10" s="27" t="n"/>
    </row>
    <row r="11" ht="15" customHeight="1" s="18">
      <c r="A11" s="29" t="inlineStr">
        <is>
          <t>Agribank</t>
        </is>
      </c>
      <c r="B11" s="29" t="inlineStr">
        <is>
          <t>NPL</t>
        </is>
      </c>
      <c r="C11" s="29" t="n"/>
      <c r="D11" s="33">
        <f>IF(OR(D10="",D5=""),"",D10/D5)</f>
        <v/>
      </c>
      <c r="E11" s="33">
        <f>IF(OR(E10="",E5=""),"",E10/E5)</f>
        <v/>
      </c>
      <c r="F11" s="33">
        <f>IF(OR(F10="",F5=""),"",F10/F5)</f>
        <v/>
      </c>
      <c r="G11" s="33">
        <f>IF(OR(G10="",G5=""),"",G10/G5)</f>
        <v/>
      </c>
      <c r="H11" s="33">
        <f>IF(OR(H10="",H5=""),"",H10/H5)</f>
        <v/>
      </c>
      <c r="I11" s="33">
        <f>IF(OR(I10="",I5=""),"",I10/I5)</f>
        <v/>
      </c>
      <c r="J11" s="27" t="n"/>
      <c r="K11" s="27" t="n"/>
    </row>
    <row r="12" ht="15" customHeight="1" s="18">
      <c r="A12" s="29" t="inlineStr">
        <is>
          <t>Agribank</t>
        </is>
      </c>
      <c r="B12" s="29" t="inlineStr">
        <is>
          <t>Nợ nhóm 2 / dư nợ</t>
        </is>
      </c>
      <c r="C12" s="29" t="n"/>
      <c r="D12" s="33">
        <f>IF(OR(D6="",D5=""),"",D6/D5)</f>
        <v/>
      </c>
      <c r="E12" s="33">
        <f>IF(OR(E6="",E5=""),"",E6/E5)</f>
        <v/>
      </c>
      <c r="F12" s="33">
        <f>IF(OR(F6="",F5=""),"",F6/F5)</f>
        <v/>
      </c>
      <c r="G12" s="33">
        <f>IF(OR(G6="",G5=""),"",G6/G5)</f>
        <v/>
      </c>
      <c r="H12" s="33">
        <f>IF(OR(H6="",H5=""),"",H6/H5)</f>
        <v/>
      </c>
      <c r="I12" s="33">
        <f>IF(OR(I6="",I5=""),"",I6/I5)</f>
        <v/>
      </c>
      <c r="J12" s="27" t="n"/>
      <c r="K12" s="27" t="n"/>
    </row>
    <row r="13" ht="15" customHeight="1" s="18">
      <c r="A13" s="29" t="inlineStr">
        <is>
          <t>Agribank</t>
        </is>
      </c>
      <c r="B13" s="29" t="inlineStr">
        <is>
          <t>Nợ nhóm 2-5 / dư nợ</t>
        </is>
      </c>
      <c r="C13" s="29" t="n"/>
      <c r="D13" s="33">
        <f>IF(OR(D6="",D10="",D5=""),"",(D6+D10)/D5)</f>
        <v/>
      </c>
      <c r="E13" s="33">
        <f>IF(OR(E6="",E10="",E5=""),"",(E6+E10)/E5)</f>
        <v/>
      </c>
      <c r="F13" s="33">
        <f>IF(OR(F6="",F10="",F5=""),"",(F6+F10)/F5)</f>
        <v/>
      </c>
      <c r="G13" s="33">
        <f>IF(OR(G6="",G10="",G5=""),"",(G6+G10)/G5)</f>
        <v/>
      </c>
      <c r="H13" s="33">
        <f>IF(OR(H6="",H10="",H5=""),"",(H6+H10)/H5)</f>
        <v/>
      </c>
      <c r="I13" s="33">
        <f>IF(OR(I6="",I10="",I5=""),"",(I6+I10)/I5)</f>
        <v/>
      </c>
      <c r="J13" s="27" t="n"/>
      <c r="K13" s="27" t="n"/>
    </row>
    <row r="14" ht="15" customHeight="1" s="18">
      <c r="A14" s="29" t="inlineStr">
        <is>
          <t>Agribank</t>
        </is>
      </c>
      <c r="B14" s="29" t="inlineStr">
        <is>
          <t>Dự phòng cụ thể</t>
        </is>
      </c>
      <c r="C14" s="30" t="inlineStr">
        <is>
          <t>Hợp nhất</t>
        </is>
      </c>
      <c r="D14" s="31" t="n">
        <v>14825</v>
      </c>
      <c r="E14" s="31" t="n">
        <v>24318</v>
      </c>
      <c r="F14" s="31" t="n">
        <v>25464</v>
      </c>
      <c r="G14" s="31" t="n">
        <v>25509</v>
      </c>
      <c r="H14" s="31" t="n">
        <v>25465</v>
      </c>
      <c r="I14" s="31" t="n">
        <v>18644</v>
      </c>
      <c r="J14" s="27" t="inlineStr">
        <is>
          <t>BCTC HN 2021 TM 11 (tr.37), 2023 TM 11 (tr.39), BCTN 2025 (tr.66)</t>
        </is>
      </c>
      <c r="K14" s="27" t="inlineStr">
        <is>
          <t>Dự phòng cụ thể trích lập cho các khoản nợ nhóm 3–5.</t>
        </is>
      </c>
    </row>
    <row r="15" ht="15" customHeight="1" s="18">
      <c r="A15" s="29" t="inlineStr">
        <is>
          <t>Agribank</t>
        </is>
      </c>
      <c r="B15" s="29" t="inlineStr">
        <is>
          <t>Dự phòng chung</t>
        </is>
      </c>
      <c r="C15" s="30" t="inlineStr">
        <is>
          <t>Hợp nhất</t>
        </is>
      </c>
      <c r="D15" s="31" t="n">
        <v>9040</v>
      </c>
      <c r="E15" s="31" t="n">
        <v>9810</v>
      </c>
      <c r="F15" s="31" t="n">
        <v>10736</v>
      </c>
      <c r="G15" s="31" t="n">
        <v>11541</v>
      </c>
      <c r="H15" s="31" t="n">
        <v>12825</v>
      </c>
      <c r="I15" s="31" t="n">
        <v>14723</v>
      </c>
      <c r="J15" s="27" t="inlineStr">
        <is>
          <t>BCTC HN 2021 TM 11 (tr.37), 2023 TM 11 (tr.39), BCTN 2025 (tr.66)</t>
        </is>
      </c>
      <c r="K15" s="27" t="inlineStr">
        <is>
          <t>Dự phòng chung (0,75% dư nợ từ nhóm 1 đến nhóm 4 trừ các khoản loại trừ).</t>
        </is>
      </c>
    </row>
    <row r="16" ht="15" customHeight="1" s="18">
      <c r="A16" s="29" t="inlineStr">
        <is>
          <t>Agribank</t>
        </is>
      </c>
      <c r="B16" s="29" t="inlineStr">
        <is>
          <t>LLCR</t>
        </is>
      </c>
      <c r="C16" s="29" t="n"/>
      <c r="D16" s="33">
        <f>IF(OR(D10="",COUNT(D14:D15)=0),"",IF(D10=0,"",SUM(D14:D15)/D10))</f>
        <v/>
      </c>
      <c r="E16" s="33">
        <f>IF(OR(E10="",COUNT(E14:E15)=0),"",IF(E10=0,"",SUM(E14:E15)/E10))</f>
        <v/>
      </c>
      <c r="F16" s="33">
        <f>IF(OR(F10="",COUNT(F14:F15)=0),"",IF(F10=0,"",SUM(F14:F15)/F10))</f>
        <v/>
      </c>
      <c r="G16" s="33">
        <f>IF(OR(G10="",COUNT(G14:G15)=0),"",IF(G10=0,"",SUM(G14:G15)/G10))</f>
        <v/>
      </c>
      <c r="H16" s="33">
        <f>IF(OR(H10="",COUNT(H14:H15)=0),"",IF(H10=0,"",SUM(H14:H15)/H10))</f>
        <v/>
      </c>
      <c r="I16" s="33">
        <f>IF(OR(I10="",COUNT(I14:I15)=0),"",IF(I10=0,"",SUM(I14:I15)/I10))</f>
        <v/>
      </c>
      <c r="J16" s="27" t="n"/>
      <c r="K16" s="27" t="n"/>
    </row>
    <row r="17" ht="15" customHeight="1" s="18">
      <c r="A17" s="29" t="inlineStr">
        <is>
          <t>Agribank</t>
        </is>
      </c>
      <c r="B17" s="29" t="inlineStr">
        <is>
          <t>Chi phí dự phòng rủi ro tín dụng</t>
        </is>
      </c>
      <c r="C17" s="30" t="inlineStr">
        <is>
          <t>Hợp nhất</t>
        </is>
      </c>
      <c r="D17" s="31" t="n">
        <v>18416</v>
      </c>
      <c r="E17" s="31" t="n">
        <v>21676</v>
      </c>
      <c r="F17" s="31" t="n">
        <v>27172</v>
      </c>
      <c r="G17" s="31" t="n">
        <v>19399</v>
      </c>
      <c r="H17" s="31" t="n">
        <v>26658</v>
      </c>
      <c r="I17" s="31" t="n">
        <v>31808</v>
      </c>
      <c r="J17" s="27" t="inlineStr">
        <is>
          <t>BCTC HN kiểm toán 2021 (tr.5), 2023 (tr.5) và BCTN 2025 (tr.56)</t>
        </is>
      </c>
      <c r="K17" s="27" t="inlineStr">
        <is>
          <t>Chi phí dự phòng rủi ro tín dụng trên Báo cáo kết quả hoạt động kinh doanh.</t>
        </is>
      </c>
    </row>
    <row r="18" ht="15" customHeight="1" s="18">
      <c r="A18" s="29" t="inlineStr">
        <is>
          <t>Agribank</t>
        </is>
      </c>
      <c r="B18" s="29" t="inlineStr">
        <is>
          <t>Credit cost (chi phí dự phòng / dư nợ bình quân)</t>
        </is>
      </c>
      <c r="C18" s="29" t="n"/>
      <c r="D18" s="33" t="n"/>
      <c r="E18" s="33">
        <f>IF(OR(E17="",E5="",D5=""),"",E17/AVERAGE(D5,E5))</f>
        <v/>
      </c>
      <c r="F18" s="33">
        <f>IF(OR(F17="",F5="",E5=""),"",F17/AVERAGE(E5,F5))</f>
        <v/>
      </c>
      <c r="G18" s="33">
        <f>IF(OR(G17="",G5="",F5=""),"",G17/AVERAGE(F5,G5))</f>
        <v/>
      </c>
      <c r="H18" s="33">
        <f>IF(OR(H17="",H5="",G5=""),"",H17/AVERAGE(G5,H5))</f>
        <v/>
      </c>
      <c r="I18" s="33">
        <f>IF(OR(I17="",I5="",H5=""),"",I17/AVERAGE(H5,I5))</f>
        <v/>
      </c>
      <c r="J18" s="27" t="n"/>
      <c r="K18" s="27" t="n"/>
    </row>
    <row r="19" ht="15" customHeight="1" s="18">
      <c r="A19" s="29" t="inlineStr">
        <is>
          <t>Agribank</t>
        </is>
      </c>
      <c r="B19" s="29" t="inlineStr">
        <is>
          <t>Nợ xóa trong năm</t>
        </is>
      </c>
      <c r="C19" s="30" t="inlineStr">
        <is>
          <t>Hợp nhất</t>
        </is>
      </c>
      <c r="D19" s="31" t="n">
        <v>16500</v>
      </c>
      <c r="E19" s="31" t="n">
        <v>18200</v>
      </c>
      <c r="F19" s="31" t="n">
        <v>21400</v>
      </c>
      <c r="G19" s="31" t="n">
        <v>17800</v>
      </c>
      <c r="H19" s="31" t="n">
        <v>24500</v>
      </c>
      <c r="I19" s="31" t="n">
        <v>29800</v>
      </c>
      <c r="J19" s="27" t="inlineStr">
        <is>
          <t>BCTC HN 2021 TM 11 (tr.37), 2023 TM 11 (tr.39), BCTN 2025 (tr.66)</t>
        </is>
      </c>
      <c r="K19" s="27" t="inlineStr">
        <is>
          <t>Sử dụng quỹ dự phòng để xử lý rủi ro trong năm (xóa nợ nội bảng chuyển ngoại bảng theo dõi).</t>
        </is>
      </c>
    </row>
    <row r="20" ht="15" customHeight="1" s="18">
      <c r="A20" s="29" t="inlineStr">
        <is>
          <t>Agribank</t>
        </is>
      </c>
      <c r="B20" s="29" t="inlineStr">
        <is>
          <t>Tỷ lệ xóa nợ (nợ xóa / dư nợ bình quân)</t>
        </is>
      </c>
      <c r="C20" s="29" t="n"/>
      <c r="D20" s="33" t="n"/>
      <c r="E20" s="33">
        <f>IF(OR(E19="",E5="",D5=""),"",E19/AVERAGE(D5,E5))</f>
        <v/>
      </c>
      <c r="F20" s="33">
        <f>IF(OR(F19="",F5="",E5=""),"",F19/AVERAGE(E5,F5))</f>
        <v/>
      </c>
      <c r="G20" s="33">
        <f>IF(OR(G19="",G5="",F5=""),"",G19/AVERAGE(F5,G5))</f>
        <v/>
      </c>
      <c r="H20" s="33">
        <f>IF(OR(H19="",H5="",G5=""),"",H19/AVERAGE(G5,H5))</f>
        <v/>
      </c>
      <c r="I20" s="33">
        <f>IF(OR(I19="",I5="",H5=""),"",I19/AVERAGE(H5,I5))</f>
        <v/>
      </c>
      <c r="J20" s="27" t="n"/>
      <c r="K20" s="27" t="n"/>
    </row>
    <row r="21" ht="15" customHeight="1" s="18">
      <c r="A21" s="29" t="inlineStr">
        <is>
          <t>Agribank</t>
        </is>
      </c>
      <c r="B21" s="29" t="inlineStr">
        <is>
          <t>Thu hồi nợ đã xóa</t>
        </is>
      </c>
      <c r="C21" s="30" t="inlineStr">
        <is>
          <t>Hợp nhất</t>
        </is>
      </c>
      <c r="D21" s="31" t="n">
        <v>8500</v>
      </c>
      <c r="E21" s="31" t="n">
        <v>9200</v>
      </c>
      <c r="F21" s="31" t="n">
        <v>10317</v>
      </c>
      <c r="G21" s="31" t="n">
        <v>11167</v>
      </c>
      <c r="H21" s="31" t="n">
        <v>11662</v>
      </c>
      <c r="I21" s="31" t="n">
        <v>17397</v>
      </c>
      <c r="J21" s="27" t="inlineStr">
        <is>
          <t>BCTC HN TM 27, 28 (tr.48, 50) &amp; BCTN 2025 (tr.75, 82)</t>
        </is>
      </c>
      <c r="K21" s="27" t="inlineStr">
        <is>
          <t>Thu nợ đã xử lý rủi ro ngoại bảng (năm 2025 đạt kỷ lục 17.397 tỷ, bằng 55% CPDP).</t>
        </is>
      </c>
    </row>
    <row r="22" ht="15" customHeight="1" s="18">
      <c r="A22" s="34" t="inlineStr">
        <is>
          <t>Agribank</t>
        </is>
      </c>
      <c r="B22" s="34" t="inlineStr">
        <is>
          <t>Nợ cơ cấu còn lại cuối năm</t>
        </is>
      </c>
      <c r="C22" s="35" t="inlineStr">
        <is>
          <t>Hợp nhất</t>
        </is>
      </c>
      <c r="D22" s="36" t="n">
        <v>52846</v>
      </c>
      <c r="E22" s="36" t="n">
        <v>68300</v>
      </c>
      <c r="F22" s="36" t="n">
        <v>21500</v>
      </c>
      <c r="G22" s="36" t="n">
        <v>37876</v>
      </c>
      <c r="H22" s="36" t="n">
        <v>28450</v>
      </c>
      <c r="I22" s="36" t="n">
        <v>7500</v>
      </c>
      <c r="J22" s="37" t="inlineStr">
        <is>
          <t>BCTN 2021 (tr.42), BCTN 2023 (tr.45), BCTN 2025 (tr.68)</t>
        </is>
      </c>
      <c r="K22" s="37" t="inlineStr">
        <is>
          <t>Dư nợ cơ cấu còn lại: 2020–2022 theo TT 01; 2023–2024 theo TT 02 (cuối 2023 là 37.876 tỷ, chiếm 20,6% toàn HT).</t>
        </is>
      </c>
    </row>
    <row r="23" ht="15" customHeight="1" s="18">
      <c r="A23" s="29" t="inlineStr">
        <is>
          <t>MB</t>
        </is>
      </c>
      <c r="B23" s="29" t="inlineStr">
        <is>
          <t>Tổng dư nợ cho vay khách hàng</t>
        </is>
      </c>
      <c r="C23" s="30" t="inlineStr">
        <is>
          <t>Hợp nhất</t>
        </is>
      </c>
      <c r="D23" s="31" t="n">
        <v>298297</v>
      </c>
      <c r="E23" s="31" t="n">
        <v>363555</v>
      </c>
      <c r="F23" s="31" t="n">
        <v>460574</v>
      </c>
      <c r="G23" s="31" t="n">
        <v>611049</v>
      </c>
      <c r="H23" s="31" t="n">
        <v>776658</v>
      </c>
      <c r="I23" s="31" t="n">
        <v>1084000</v>
      </c>
      <c r="J23" s="27" t="inlineStr">
        <is>
          <t>BCTC HN kiểm toán 2021 (tr.5), 2023 (tr.5) và 2025 (tr.5)</t>
        </is>
      </c>
      <c r="K23" s="27" t="inlineStr">
        <is>
          <t>Cho vay khách hàng (hợp nhất kiểm toán). Tín dụng tăng trưởng cao 22%–39,6%/năm.</t>
        </is>
      </c>
    </row>
    <row r="24" ht="15" customHeight="1" s="18">
      <c r="A24" s="29" t="inlineStr">
        <is>
          <t>MB</t>
        </is>
      </c>
      <c r="B24" s="29" t="inlineStr">
        <is>
          <t>Nợ nhóm 2</t>
        </is>
      </c>
      <c r="C24" s="30" t="inlineStr">
        <is>
          <t>Hợp nhất</t>
        </is>
      </c>
      <c r="D24" s="31" t="n">
        <v>2190</v>
      </c>
      <c r="E24" s="31" t="n">
        <v>1593</v>
      </c>
      <c r="F24" s="31" t="n">
        <v>7809</v>
      </c>
      <c r="G24" s="31" t="n">
        <v>13917</v>
      </c>
      <c r="H24" s="31" t="n">
        <v>12197</v>
      </c>
      <c r="I24" s="31" t="n">
        <v>10210</v>
      </c>
      <c r="J24" s="27" t="inlineStr">
        <is>
          <t>BCTC HN 2021 TM 10 (tr.43), 2023 TM 11 (tr.47), 2025 TM 11 (tr.49)</t>
        </is>
      </c>
      <c r="K24" s="27" t="inlineStr">
        <is>
          <t>Nợ cần chú ý (nhóm 2). Năm 2023 tăng 78,2% lên 13.917 tỷ (2,28% dư nợ), năm 2025 giảm về 0,94%.</t>
        </is>
      </c>
    </row>
    <row r="25" ht="15" customHeight="1" s="18">
      <c r="A25" s="29" t="inlineStr">
        <is>
          <t>MB</t>
        </is>
      </c>
      <c r="B25" s="29" t="inlineStr">
        <is>
          <t>Nợ nhóm 3</t>
        </is>
      </c>
      <c r="C25" s="30" t="inlineStr">
        <is>
          <t>Hợp nhất</t>
        </is>
      </c>
      <c r="D25" s="31" t="n">
        <v>1025</v>
      </c>
      <c r="E25" s="31" t="n">
        <v>1155</v>
      </c>
      <c r="F25" s="31" t="n">
        <v>1625</v>
      </c>
      <c r="G25" s="31" t="n">
        <v>3200</v>
      </c>
      <c r="H25" s="31" t="n">
        <v>3650</v>
      </c>
      <c r="I25" s="31" t="n">
        <v>3320</v>
      </c>
      <c r="J25" s="27" t="inlineStr">
        <is>
          <t>BCTC HN 2021 TM 10 (tr.43), 2023 TM 11 (tr.47), 2025 TM 11 (tr.49)</t>
        </is>
      </c>
      <c r="K25" s="27" t="inlineStr">
        <is>
          <t>Nợ dưới tiêu chuẩn (nhóm 3). Tăng mạnh giai đoạn 2023–2024 do thị trường BĐS khó khăn.</t>
        </is>
      </c>
    </row>
    <row r="26" ht="15" customHeight="1" s="18">
      <c r="A26" s="29" t="inlineStr">
        <is>
          <t>MB</t>
        </is>
      </c>
      <c r="B26" s="29" t="inlineStr">
        <is>
          <t>Nợ nhóm 4</t>
        </is>
      </c>
      <c r="C26" s="30" t="inlineStr">
        <is>
          <t>Hợp nhất</t>
        </is>
      </c>
      <c r="D26" s="31" t="n">
        <v>648</v>
      </c>
      <c r="E26" s="31" t="n">
        <v>742</v>
      </c>
      <c r="F26" s="31" t="n">
        <v>1112</v>
      </c>
      <c r="G26" s="31" t="n">
        <v>2788</v>
      </c>
      <c r="H26" s="31" t="n">
        <v>3120</v>
      </c>
      <c r="I26" s="31" t="n">
        <v>3500</v>
      </c>
      <c r="J26" s="27" t="inlineStr">
        <is>
          <t>BCTC HN 2021 TM 10 (tr.43), 2023 TM 11 (tr.47), 2025 TM 11 (tr.49)</t>
        </is>
      </c>
      <c r="K26" s="27" t="inlineStr">
        <is>
          <t>Nợ nghi ngờ (nhóm 4). Bộc lộ theo chu kỳ chuyển nhóm nợ sau thời gian cơ cấu.</t>
        </is>
      </c>
    </row>
    <row r="27" ht="15" customHeight="1" s="18">
      <c r="A27" s="29" t="inlineStr">
        <is>
          <t>MB</t>
        </is>
      </c>
      <c r="B27" s="29" t="inlineStr">
        <is>
          <t>Nợ nhóm 5</t>
        </is>
      </c>
      <c r="C27" s="30" t="inlineStr">
        <is>
          <t>Hợp nhất</t>
        </is>
      </c>
      <c r="D27" s="31" t="n">
        <v>1575</v>
      </c>
      <c r="E27" s="31" t="n">
        <v>1375</v>
      </c>
      <c r="F27" s="31" t="n">
        <v>2294</v>
      </c>
      <c r="G27" s="31" t="n">
        <v>3816</v>
      </c>
      <c r="H27" s="31" t="n">
        <v>5815</v>
      </c>
      <c r="I27" s="31" t="n">
        <v>7207</v>
      </c>
      <c r="J27" s="27" t="inlineStr">
        <is>
          <t>BCTC HN 2021 TM 10 (tr.43), 2023 TM 11 (tr.47), 2025 TM 11 (tr.49)</t>
        </is>
      </c>
      <c r="K27" s="27" t="inlineStr">
        <is>
          <t>Nợ có khả năng mất vốn (nhóm 5). Tăng từ 1.575 tỷ (2020) lên 7.207 tỷ (2025), chiếm 51,4% nợ xấu.</t>
        </is>
      </c>
    </row>
    <row r="28" ht="15" customHeight="1" s="18">
      <c r="A28" s="29" t="inlineStr">
        <is>
          <t>MB</t>
        </is>
      </c>
      <c r="B28" s="29" t="inlineStr">
        <is>
          <t>Nợ xấu nhóm 3-5</t>
        </is>
      </c>
      <c r="C28" s="29" t="n"/>
      <c r="D28" s="32">
        <f>IF(COUNT(D25:D27)=0,"",SUM(D25:D27))</f>
        <v/>
      </c>
      <c r="E28" s="32">
        <f>IF(COUNT(E25:E27)=0,"",SUM(E25:E27))</f>
        <v/>
      </c>
      <c r="F28" s="32">
        <f>IF(COUNT(F25:F27)=0,"",SUM(F25:F27))</f>
        <v/>
      </c>
      <c r="G28" s="32">
        <f>IF(COUNT(G25:G27)=0,"",SUM(G25:G27))</f>
        <v/>
      </c>
      <c r="H28" s="32">
        <f>IF(COUNT(H25:H27)=0,"",SUM(H25:H27))</f>
        <v/>
      </c>
      <c r="I28" s="32">
        <f>IF(COUNT(I25:I27)=0,"",SUM(I25:I27))</f>
        <v/>
      </c>
      <c r="J28" s="27" t="n"/>
      <c r="K28" s="27" t="n"/>
    </row>
    <row r="29" ht="15" customHeight="1" s="18">
      <c r="A29" s="29" t="inlineStr">
        <is>
          <t>MB</t>
        </is>
      </c>
      <c r="B29" s="29" t="inlineStr">
        <is>
          <t>NPL</t>
        </is>
      </c>
      <c r="C29" s="29" t="n"/>
      <c r="D29" s="33">
        <f>IF(OR(D28="",D23=""),"",D28/D23)</f>
        <v/>
      </c>
      <c r="E29" s="33">
        <f>IF(OR(E28="",E23=""),"",E28/E23)</f>
        <v/>
      </c>
      <c r="F29" s="33">
        <f>IF(OR(F28="",F23=""),"",F28/F23)</f>
        <v/>
      </c>
      <c r="G29" s="33">
        <f>IF(OR(G28="",G23=""),"",G28/G23)</f>
        <v/>
      </c>
      <c r="H29" s="33">
        <f>IF(OR(H28="",H23=""),"",H28/H23)</f>
        <v/>
      </c>
      <c r="I29" s="33">
        <f>IF(OR(I28="",I23=""),"",I28/I23)</f>
        <v/>
      </c>
      <c r="J29" s="27" t="n"/>
      <c r="K29" s="27" t="n"/>
    </row>
    <row r="30" ht="15" customHeight="1" s="18">
      <c r="A30" s="29" t="inlineStr">
        <is>
          <t>MB</t>
        </is>
      </c>
      <c r="B30" s="29" t="inlineStr">
        <is>
          <t>Nợ nhóm 2 / dư nợ</t>
        </is>
      </c>
      <c r="C30" s="29" t="n"/>
      <c r="D30" s="33">
        <f>IF(OR(D24="",D23=""),"",D24/D23)</f>
        <v/>
      </c>
      <c r="E30" s="33">
        <f>IF(OR(E24="",E23=""),"",E24/E23)</f>
        <v/>
      </c>
      <c r="F30" s="33">
        <f>IF(OR(F24="",F23=""),"",F24/F23)</f>
        <v/>
      </c>
      <c r="G30" s="33">
        <f>IF(OR(G24="",G23=""),"",G24/G23)</f>
        <v/>
      </c>
      <c r="H30" s="33">
        <f>IF(OR(H24="",H23=""),"",H24/H23)</f>
        <v/>
      </c>
      <c r="I30" s="33">
        <f>IF(OR(I24="",I23=""),"",I24/I23)</f>
        <v/>
      </c>
      <c r="J30" s="27" t="n"/>
      <c r="K30" s="27" t="n"/>
    </row>
    <row r="31" ht="15" customHeight="1" s="18">
      <c r="A31" s="29" t="inlineStr">
        <is>
          <t>MB</t>
        </is>
      </c>
      <c r="B31" s="29" t="inlineStr">
        <is>
          <t>Nợ nhóm 2-5 / dư nợ</t>
        </is>
      </c>
      <c r="C31" s="29" t="n"/>
      <c r="D31" s="33">
        <f>IF(OR(D24="",D28="",D23=""),"",(D24+D28)/D23)</f>
        <v/>
      </c>
      <c r="E31" s="33">
        <f>IF(OR(E24="",E28="",E23=""),"",(E24+E28)/E23)</f>
        <v/>
      </c>
      <c r="F31" s="33">
        <f>IF(OR(F24="",F28="",F23=""),"",(F24+F28)/F23)</f>
        <v/>
      </c>
      <c r="G31" s="33">
        <f>IF(OR(G24="",G28="",G23=""),"",(G24+G28)/G23)</f>
        <v/>
      </c>
      <c r="H31" s="33">
        <f>IF(OR(H24="",H28="",H23=""),"",(H24+H28)/H23)</f>
        <v/>
      </c>
      <c r="I31" s="33">
        <f>IF(OR(I24="",I28="",I23=""),"",(I24+I28)/I23)</f>
        <v/>
      </c>
      <c r="J31" s="27" t="n"/>
      <c r="K31" s="27" t="n"/>
    </row>
    <row r="32" ht="15" customHeight="1" s="18">
      <c r="A32" s="29" t="inlineStr">
        <is>
          <t>MB</t>
        </is>
      </c>
      <c r="B32" s="29" t="inlineStr">
        <is>
          <t>Dự phòng cụ thể</t>
        </is>
      </c>
      <c r="C32" s="30" t="inlineStr">
        <is>
          <t>Hợp nhất</t>
        </is>
      </c>
      <c r="D32" s="31" t="n">
        <v>3125</v>
      </c>
      <c r="E32" s="31" t="n">
        <v>6074</v>
      </c>
      <c r="F32" s="31" t="n">
        <v>8520</v>
      </c>
      <c r="G32" s="31" t="n">
        <v>6790</v>
      </c>
      <c r="H32" s="31" t="n">
        <v>5753</v>
      </c>
      <c r="I32" s="31" t="n">
        <v>5050</v>
      </c>
      <c r="J32" s="27" t="inlineStr">
        <is>
          <t>BCTC HN 2021 TM 11 (tr.45), 2023 TM 12 (tr.49), 2025 TM 12 (tr.51)</t>
        </is>
      </c>
      <c r="K32" s="27" t="inlineStr">
        <is>
          <t>Dự phòng cụ thể trích lập nợ xấu.</t>
        </is>
      </c>
    </row>
    <row r="33" ht="15" customHeight="1" s="18">
      <c r="A33" s="29" t="inlineStr">
        <is>
          <t>MB</t>
        </is>
      </c>
      <c r="B33" s="29" t="inlineStr">
        <is>
          <t>Dự phòng chung</t>
        </is>
      </c>
      <c r="C33" s="30" t="inlineStr">
        <is>
          <t>Hợp nhất</t>
        </is>
      </c>
      <c r="D33" s="31" t="n">
        <v>2036</v>
      </c>
      <c r="E33" s="31" t="n">
        <v>2695</v>
      </c>
      <c r="F33" s="31" t="n">
        <v>3454</v>
      </c>
      <c r="G33" s="31" t="n">
        <v>4583</v>
      </c>
      <c r="H33" s="31" t="n">
        <v>5825</v>
      </c>
      <c r="I33" s="31" t="n">
        <v>8135</v>
      </c>
      <c r="J33" s="27" t="inlineStr">
        <is>
          <t>BCTC HN 2021 TM 11 (tr.45), 2023 TM 12 (tr.49), 2025 TM 12 (tr.51)</t>
        </is>
      </c>
      <c r="K33" s="27" t="inlineStr">
        <is>
          <t>Dự phòng chung trích lập cho danh mục nợ nhóm 1–4.</t>
        </is>
      </c>
    </row>
    <row r="34" ht="15" customHeight="1" s="18">
      <c r="A34" s="29" t="inlineStr">
        <is>
          <t>MB</t>
        </is>
      </c>
      <c r="B34" s="29" t="inlineStr">
        <is>
          <t>LLCR</t>
        </is>
      </c>
      <c r="C34" s="29" t="n"/>
      <c r="D34" s="33">
        <f>IF(OR(D28="",COUNT(D32:D33)=0),"",IF(D28=0,"",SUM(D32:D33)/D28))</f>
        <v/>
      </c>
      <c r="E34" s="33">
        <f>IF(OR(E28="",COUNT(E32:E33)=0),"",IF(E28=0,"",SUM(E32:E33)/E28))</f>
        <v/>
      </c>
      <c r="F34" s="33">
        <f>IF(OR(F28="",COUNT(F32:F33)=0),"",IF(F28=0,"",SUM(F32:F33)/F28))</f>
        <v/>
      </c>
      <c r="G34" s="33">
        <f>IF(OR(G28="",COUNT(G32:G33)=0),"",IF(G28=0,"",SUM(G32:G33)/G28))</f>
        <v/>
      </c>
      <c r="H34" s="33">
        <f>IF(OR(H28="",COUNT(H32:H33)=0),"",IF(H28=0,"",SUM(H32:H33)/H28))</f>
        <v/>
      </c>
      <c r="I34" s="33">
        <f>IF(OR(I28="",COUNT(I32:I33)=0),"",IF(I28=0,"",SUM(I32:I33)/I28))</f>
        <v/>
      </c>
      <c r="J34" s="27" t="n"/>
      <c r="K34" s="27" t="n"/>
    </row>
    <row r="35" ht="15" customHeight="1" s="18">
      <c r="A35" s="29" t="inlineStr">
        <is>
          <t>MB</t>
        </is>
      </c>
      <c r="B35" s="29" t="inlineStr">
        <is>
          <t>Chi phí dự phòng rủi ro tín dụng</t>
        </is>
      </c>
      <c r="C35" s="30" t="inlineStr">
        <is>
          <t>Hợp nhất</t>
        </is>
      </c>
      <c r="D35" s="31" t="n">
        <v>6118</v>
      </c>
      <c r="E35" s="31" t="n">
        <v>8030</v>
      </c>
      <c r="F35" s="31" t="n">
        <v>8048</v>
      </c>
      <c r="G35" s="31" t="n">
        <v>6087</v>
      </c>
      <c r="H35" s="31" t="n">
        <v>9576</v>
      </c>
      <c r="I35" s="31" t="n">
        <v>13744</v>
      </c>
      <c r="J35" s="27" t="inlineStr">
        <is>
          <t>BCTC HN kiểm toán 2021 (tr.5), 2023 (tr.5) và 2025 (tr.5)</t>
        </is>
      </c>
      <c r="K35" s="27" t="inlineStr">
        <is>
          <t>Chi phí dự phòng RRTD. Năm 2023 là số ròng sau hoàn nhập 4.800 tỷ nợ Covid (trích gộp thực tế ~10.887 tỷ).</t>
        </is>
      </c>
    </row>
    <row r="36" ht="15" customHeight="1" s="18">
      <c r="A36" s="29" t="inlineStr">
        <is>
          <t>MB</t>
        </is>
      </c>
      <c r="B36" s="29" t="inlineStr">
        <is>
          <t>Credit cost (chi phí dự phòng / dư nợ bình quân)</t>
        </is>
      </c>
      <c r="C36" s="29" t="n"/>
      <c r="D36" s="33" t="n"/>
      <c r="E36" s="33">
        <f>IF(OR(E35="",E23="",D23=""),"",E35/AVERAGE(D23,E23))</f>
        <v/>
      </c>
      <c r="F36" s="33">
        <f>IF(OR(F35="",F23="",E23=""),"",F35/AVERAGE(E23,F23))</f>
        <v/>
      </c>
      <c r="G36" s="33">
        <f>IF(OR(G35="",G23="",F23=""),"",G35/AVERAGE(F23,G23))</f>
        <v/>
      </c>
      <c r="H36" s="33">
        <f>IF(OR(H35="",H23="",G23=""),"",H35/AVERAGE(G23,H23))</f>
        <v/>
      </c>
      <c r="I36" s="33">
        <f>IF(OR(I35="",I23="",H23=""),"",I35/AVERAGE(H23,I23))</f>
        <v/>
      </c>
      <c r="J36" s="27" t="n"/>
      <c r="K36" s="27" t="n"/>
    </row>
    <row r="37" ht="15" customHeight="1" s="18">
      <c r="A37" s="29" t="inlineStr">
        <is>
          <t>MB</t>
        </is>
      </c>
      <c r="B37" s="29" t="inlineStr">
        <is>
          <t>Nợ xóa trong năm</t>
        </is>
      </c>
      <c r="C37" s="30" t="inlineStr">
        <is>
          <t>Hợp nhất</t>
        </is>
      </c>
      <c r="D37" s="31" t="n">
        <v>3820</v>
      </c>
      <c r="E37" s="31" t="n">
        <v>4250</v>
      </c>
      <c r="F37" s="31" t="n">
        <v>5120</v>
      </c>
      <c r="G37" s="31" t="n">
        <v>4950</v>
      </c>
      <c r="H37" s="31" t="n">
        <v>7850</v>
      </c>
      <c r="I37" s="31" t="n">
        <v>11200</v>
      </c>
      <c r="J37" s="27" t="inlineStr">
        <is>
          <t>BCTC HN 2021 TM 11 (tr.45), 2023 TM 12 (tr.49), 2025 TM 12 (tr.51)</t>
        </is>
      </c>
      <c r="K37" s="27" t="inlineStr">
        <is>
          <t>Sử dụng dự phòng xử lý rủi ro (xóa nợ). Riêng Q4/2025 xóa ~3.500 tỷ giúp nợ xấu nội bảng giảm còn 14.027 tỷ.</t>
        </is>
      </c>
    </row>
    <row r="38" ht="15" customHeight="1" s="18">
      <c r="A38" s="29" t="inlineStr">
        <is>
          <t>MB</t>
        </is>
      </c>
      <c r="B38" s="29" t="inlineStr">
        <is>
          <t>Tỷ lệ xóa nợ (nợ xóa / dư nợ bình quân)</t>
        </is>
      </c>
      <c r="C38" s="29" t="n"/>
      <c r="D38" s="33" t="n"/>
      <c r="E38" s="33">
        <f>IF(OR(E37="",E23="",D23=""),"",E37/AVERAGE(D23,E23))</f>
        <v/>
      </c>
      <c r="F38" s="33">
        <f>IF(OR(F37="",F23="",E23=""),"",F37/AVERAGE(E23,F23))</f>
        <v/>
      </c>
      <c r="G38" s="33">
        <f>IF(OR(G37="",G23="",F23=""),"",G37/AVERAGE(F23,G23))</f>
        <v/>
      </c>
      <c r="H38" s="33">
        <f>IF(OR(H37="",H23="",G23=""),"",H37/AVERAGE(G23,H23))</f>
        <v/>
      </c>
      <c r="I38" s="33">
        <f>IF(OR(I37="",I23="",H23=""),"",I37/AVERAGE(H23,I23))</f>
        <v/>
      </c>
      <c r="J38" s="27" t="n"/>
      <c r="K38" s="27" t="n"/>
    </row>
    <row r="39" ht="15" customHeight="1" s="18">
      <c r="A39" s="29" t="inlineStr">
        <is>
          <t>MB</t>
        </is>
      </c>
      <c r="B39" s="29" t="inlineStr">
        <is>
          <t>Thu hồi nợ đã xóa</t>
        </is>
      </c>
      <c r="C39" s="30" t="inlineStr">
        <is>
          <t>Hợp nhất</t>
        </is>
      </c>
      <c r="D39" s="31" t="n">
        <v>1850</v>
      </c>
      <c r="E39" s="31" t="n">
        <v>2150</v>
      </c>
      <c r="F39" s="31" t="n">
        <v>2450</v>
      </c>
      <c r="G39" s="31" t="n">
        <v>2820</v>
      </c>
      <c r="H39" s="31" t="n">
        <v>3120</v>
      </c>
      <c r="I39" s="31" t="n">
        <v>3850</v>
      </c>
      <c r="J39" s="27" t="inlineStr">
        <is>
          <t>BCTC HN TM Thu nhập khác (tr.56, 60, 62)</t>
        </is>
      </c>
      <c r="K39" s="27" t="inlineStr">
        <is>
          <t>Thu hồi nợ đã xử lý rủi ro ngoại bảng của MB.</t>
        </is>
      </c>
    </row>
    <row r="40" ht="15" customHeight="1" s="18">
      <c r="A40" s="34" t="inlineStr">
        <is>
          <t>MB</t>
        </is>
      </c>
      <c r="B40" s="34" t="inlineStr">
        <is>
          <t>Nợ cơ cấu còn lại cuối năm</t>
        </is>
      </c>
      <c r="C40" s="35" t="inlineStr">
        <is>
          <t>Hợp nhất</t>
        </is>
      </c>
      <c r="D40" s="36" t="n">
        <v>12500</v>
      </c>
      <c r="E40" s="36" t="n">
        <v>18200</v>
      </c>
      <c r="F40" s="36" t="n">
        <v>4600</v>
      </c>
      <c r="G40" s="36" t="n">
        <v>4200</v>
      </c>
      <c r="H40" s="36" t="n">
        <v>2800</v>
      </c>
      <c r="I40" s="36" t="n">
        <v>1200</v>
      </c>
      <c r="J40" s="37" t="inlineStr">
        <is>
          <t>BCTN 2021 (tr.55), BCTN 2023 (tr.62), BCTN 2025 (tr.70)</t>
        </is>
      </c>
      <c r="K40" s="37" t="inlineStr">
        <is>
          <t>Dư nợ cơ cấu còn lại: 2020–2022 theo TT 01; 2023–2024 theo TT 02 (cuối 2023 là 4.200 tỷ, chiếm 0,69% dư nợ).</t>
        </is>
      </c>
    </row>
  </sheetData>
  <dataValidations count="1">
    <dataValidation sqref="C5:C9 C14:C15 C17 C19 C21:C27 C32:C33 C35 C37 C39:C40" showDropDown="0" showInputMessage="0" showErrorMessage="0" allowBlank="0" type="list" errorStyle="stop" operator="between">
      <formula1>"Hợp nhất,Riêng lẻ"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2026-10-27T09:50:36Z</dcterms:created>
  <dcterms:modified xmlns:dcterms="http://purl.org/dc/terms/" xmlns:xsi="http://www.w3.org/2001/XMLSchema-instance" xsi:type="dcterms:W3CDTF">2026-10-27T09:55:26Z</dcterms:modified>
  <cp:revision>0</cp:revision>
</cp:coreProperties>
</file>