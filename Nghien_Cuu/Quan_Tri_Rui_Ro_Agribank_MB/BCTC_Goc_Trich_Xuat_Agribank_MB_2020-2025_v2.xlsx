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_luc_Ho_so_PDF" sheetId="1" state="visible" r:id="rId1"/>
    <sheet xmlns:r="http://schemas.openxmlformats.org/officeDocument/2006/relationships" name="BCTC_Agribank_Goc" sheetId="2" state="visible" r:id="rId2"/>
    <sheet xmlns:r="http://schemas.openxmlformats.org/officeDocument/2006/relationships" name="Agribank_Du_no_Nganh" sheetId="3" state="visible" r:id="rId3"/>
    <sheet xmlns:r="http://schemas.openxmlformats.org/officeDocument/2006/relationships" name="BCTC_MB_Goc" sheetId="4" state="visible" r:id="rId4"/>
    <sheet xmlns:r="http://schemas.openxmlformats.org/officeDocument/2006/relationships" name="MB_Du_no_Ngan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Times New Roman"/>
      <b val="1"/>
      <color rgb="001F4E79"/>
      <sz val="13"/>
    </font>
    <font>
      <name val="Times New Roman"/>
      <i val="1"/>
      <color rgb="00333333"/>
      <sz val="10"/>
    </font>
    <font>
      <name val="Times New Roman"/>
      <b val="1"/>
      <color rgb="00FFFFFF"/>
      <sz val="10"/>
    </font>
    <font>
      <name val="Times New Roman"/>
      <color rgb="00000000"/>
      <sz val="10"/>
    </font>
    <font>
      <name val="Times New Roman"/>
      <b val="1"/>
      <color rgb="00000000"/>
      <sz val="10"/>
    </font>
    <font>
      <name val="Times New Roman"/>
      <b val="1"/>
      <color rgb="001F4E79"/>
      <sz val="11"/>
    </font>
    <font>
      <name val="Times New Roman"/>
      <i val="1"/>
      <color rgb="00333333"/>
      <sz val="9"/>
    </font>
    <font>
      <name val="Times New Roman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1" pivotButton="0" quotePrefix="0" xfId="0"/>
    <xf numFmtId="0" fontId="0" fillId="3" borderId="1" pivotButton="0" quotePrefix="0" xfId="0"/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3" fontId="5" fillId="0" borderId="1" pivotButton="0" quotePrefix="0" xfId="0"/>
    <xf numFmtId="10" fontId="5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3" fontId="8" fillId="0" borderId="1" pivotButton="0" quotePrefix="0" xfId="0"/>
    <xf numFmtId="10" fontId="4" fillId="0" borderId="1" pivotButton="0" quotePrefix="0" xfId="0"/>
    <xf numFmtId="0" fontId="5" fillId="4" borderId="2" pivotButton="0" quotePrefix="0" xfId="0"/>
    <xf numFmtId="3" fontId="5" fillId="4" borderId="2" pivotButton="0" quotePrefix="0" xfId="0"/>
    <xf numFmtId="10" fontId="5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8" customWidth="1" min="4" max="4"/>
    <col width="16" customWidth="1" min="5" max="5"/>
    <col width="12" customWidth="1" min="6" max="6"/>
    <col width="68" customWidth="1" min="7" max="7"/>
  </cols>
  <sheetData>
    <row r="1">
      <c r="A1" s="1" t="inlineStr">
        <is>
          <t>DANH MỤC HỒ SƠ BCTC KIỂM TOÁN &amp; BÁO CÁO THƯỜNG NIÊN GỐC ĐÃ TRÍCH XUẤT (2020–2025)</t>
        </is>
      </c>
    </row>
    <row r="2">
      <c r="A2" s="2" t="inlineStr">
        <is>
          <t>Toàn bộ 27 tệp PDF nguyên bản lưu tại thư mục Ho_so_BCTC_BCTN_Goc_Agribank_MB — Đã chuyển đổi 100% bảng biểu thuyết minh sang các sheet bên cạnh.</t>
        </is>
      </c>
    </row>
    <row r="4" ht="25" customHeight="1">
      <c r="A4" s="3" t="inlineStr">
        <is>
          <t>STT</t>
        </is>
      </c>
      <c r="B4" s="3" t="inlineStr">
        <is>
          <t>Ngân hàng</t>
        </is>
      </c>
      <c r="C4" s="4" t="inlineStr">
        <is>
          <t>Tên tệp PDF gốc</t>
        </is>
      </c>
      <c r="D4" s="3" t="inlineStr">
        <is>
          <t>Đơn vị kiểm toán</t>
        </is>
      </c>
      <c r="E4" s="3" t="inlineStr">
        <is>
          <t>Kỳ số liệu phủ</t>
        </is>
      </c>
      <c r="F4" s="3" t="inlineStr">
        <is>
          <t>Số trang PDF</t>
        </is>
      </c>
      <c r="G4" s="4" t="inlineStr">
        <is>
          <t>Các Thuyết minh &amp; Bảng biểu đã trích xuất sang Excel</t>
        </is>
      </c>
    </row>
    <row r="5" ht="24" customHeight="1">
      <c r="A5" s="5" t="n">
        <v>1</v>
      </c>
      <c r="B5" s="6" t="inlineStr">
        <is>
          <t>Agribank</t>
        </is>
      </c>
      <c r="C5" s="7" t="inlineStr">
        <is>
          <t>Agribank_BCTC_HN_2020_KiemToan.pdf</t>
        </is>
      </c>
      <c r="D5" s="5" t="inlineStr">
        <is>
          <t>Deloitte Việt Nam</t>
        </is>
      </c>
      <c r="E5" s="5" t="inlineStr">
        <is>
          <t>2020 &amp; 2019</t>
        </is>
      </c>
      <c r="F5" s="5" t="n">
        <v>76</v>
      </c>
      <c r="G5" s="8" t="inlineStr">
        <is>
          <t>BCĐKT, KQKD, TM 9 (Chất lượng nợ &amp; Ngành), TM 10 (Dự phòng &amp; Xóa nợ), TM 30 (Thu nợ XLRR), TM 37 (TSBĐ)</t>
        </is>
      </c>
    </row>
    <row r="6" ht="24" customHeight="1">
      <c r="A6" s="5" t="n">
        <v>2</v>
      </c>
      <c r="B6" s="6" t="inlineStr">
        <is>
          <t>Agribank</t>
        </is>
      </c>
      <c r="C6" s="7" t="inlineStr">
        <is>
          <t>Agribank_BCTC_HN_2021_KiemToan.pdf</t>
        </is>
      </c>
      <c r="D6" s="5" t="inlineStr">
        <is>
          <t>KPMG Việt Nam</t>
        </is>
      </c>
      <c r="E6" s="5" t="inlineStr">
        <is>
          <t>2021 &amp; 2020</t>
        </is>
      </c>
      <c r="F6" s="5" t="n">
        <v>87</v>
      </c>
      <c r="G6" s="8" t="inlineStr">
        <is>
          <t>BCĐKT, KQKD, TM 10 (Chất lượng nợ &amp; Ngành), TM 11 (Dự phòng &amp; Xóa nợ), TM 30 (Thu nợ XLRR), TM 37 (TSBĐ)</t>
        </is>
      </c>
    </row>
    <row r="7" ht="24" customHeight="1">
      <c r="A7" s="5" t="n">
        <v>3</v>
      </c>
      <c r="B7" s="6" t="inlineStr">
        <is>
          <t>Agribank</t>
        </is>
      </c>
      <c r="C7" s="7" t="inlineStr">
        <is>
          <t>Agribank_BCTC_Rieng_2021_KiemToan.pdf</t>
        </is>
      </c>
      <c r="D7" s="5" t="inlineStr">
        <is>
          <t>KPMG Việt Nam</t>
        </is>
      </c>
      <c r="E7" s="5" t="inlineStr">
        <is>
          <t>2021 &amp; 2020</t>
        </is>
      </c>
      <c r="F7" s="5" t="n">
        <v>82</v>
      </c>
      <c r="G7" s="8" t="inlineStr">
        <is>
          <t>BCĐKT, KQKD Riêng lẻ, TM 10, TM 11, TM 30, TM 37 (Đối chiếu Ngân hàng mẹ vs Hợp nhất)</t>
        </is>
      </c>
    </row>
    <row r="8" ht="24" customHeight="1">
      <c r="A8" s="5" t="n">
        <v>4</v>
      </c>
      <c r="B8" s="6" t="inlineStr">
        <is>
          <t>Agribank</t>
        </is>
      </c>
      <c r="C8" s="7" t="inlineStr">
        <is>
          <t>Agribank_BCTC_HN_2023_KiemToan.pdf</t>
        </is>
      </c>
      <c r="D8" s="5" t="inlineStr">
        <is>
          <t>KPMG Việt Nam</t>
        </is>
      </c>
      <c r="E8" s="5" t="inlineStr">
        <is>
          <t>2023 &amp; 2022</t>
        </is>
      </c>
      <c r="F8" s="5" t="n">
        <v>218</v>
      </c>
      <c r="G8" s="8" t="inlineStr">
        <is>
          <t>Bản gộp cả Hợp nhất (tr.14-112) &amp; Riêng lẻ (tr.126-218): TM 9, TM 10, TM 29, TM 36, TM 38-39 (Ngoại bảng)</t>
        </is>
      </c>
    </row>
    <row r="9" ht="24" customHeight="1">
      <c r="A9" s="5" t="n">
        <v>5</v>
      </c>
      <c r="B9" s="6" t="inlineStr">
        <is>
          <t>Agribank</t>
        </is>
      </c>
      <c r="C9" s="7" t="inlineStr">
        <is>
          <t>Agribank_BCTC_HN_2025_KiemToan.pdf</t>
        </is>
      </c>
      <c r="D9" s="5" t="inlineStr">
        <is>
          <t>EY Việt Nam</t>
        </is>
      </c>
      <c r="E9" s="5" t="inlineStr">
        <is>
          <t>2025 &amp; 2024</t>
        </is>
      </c>
      <c r="F9" s="5" t="n">
        <v>215</v>
      </c>
      <c r="G9" s="8" t="inlineStr">
        <is>
          <t>Bản gộp cả Riêng lẻ (tr.1-109) &amp; Hợp nhất (tr.121-205): TM 9, TM 10, TM 30, TM 37, TM 39-40 (Ngoại bảng), TM 3.6 (TT53 Yagi)</t>
        </is>
      </c>
    </row>
    <row r="10" ht="24" customHeight="1">
      <c r="A10" s="5" t="n">
        <v>6</v>
      </c>
      <c r="B10" s="6" t="inlineStr">
        <is>
          <t>Agribank</t>
        </is>
      </c>
      <c r="C10" s="7" t="inlineStr">
        <is>
          <t>Agribank_BCTN_2020.pdf -&gt; 2025.pdf (6 cuốn)</t>
        </is>
      </c>
      <c r="D10" s="5" t="inlineStr">
        <is>
          <t>Agribank công bố</t>
        </is>
      </c>
      <c r="E10" s="5" t="inlineStr">
        <is>
          <t>2020 – 2025</t>
        </is>
      </c>
      <c r="F10" s="5" t="n">
        <v>454</v>
      </c>
      <c r="G10" s="8" t="inlineStr">
        <is>
          <t>Bảng tổng hợp chỉ tiêu 5 năm, CAR (TT22/2019 &amp; TT41/2016), Tỷ trọng Tam nông, Dư nợ cơ cấu TT01/03/14 &amp; TT02/2023</t>
        </is>
      </c>
    </row>
    <row r="11" ht="24" customHeight="1">
      <c r="A11" s="5" t="n">
        <v>7</v>
      </c>
      <c r="B11" s="6" t="inlineStr">
        <is>
          <t>MBBank</t>
        </is>
      </c>
      <c r="C11" s="7" t="inlineStr">
        <is>
          <t>MB_BCTC_HN_2021_KiemToan.pdf &amp; BCTN 2020-21</t>
        </is>
      </c>
      <c r="D11" s="5" t="inlineStr">
        <is>
          <t>KPMG Việt Nam</t>
        </is>
      </c>
      <c r="E11" s="5" t="inlineStr">
        <is>
          <t>2021 &amp; 2020</t>
        </is>
      </c>
      <c r="F11" s="5" t="n">
        <v>88</v>
      </c>
      <c r="G11" s="8" t="inlineStr">
        <is>
          <t>BCĐKT, KQKD Hợp nhất, TM 10 (Nhóm nợ 1-5 &amp; Ngành), TM 11 (Dự phòng &amp; Xóa nợ), TM 12 (TPDN), TM 31, TM 39-40</t>
        </is>
      </c>
    </row>
    <row r="12" ht="24" customHeight="1">
      <c r="A12" s="5" t="n">
        <v>8</v>
      </c>
      <c r="B12" s="6" t="inlineStr">
        <is>
          <t>MBBank</t>
        </is>
      </c>
      <c r="C12" s="7" t="inlineStr">
        <is>
          <t>MB_BCTC_Rieng_2021_KiemToan.pdf</t>
        </is>
      </c>
      <c r="D12" s="5" t="inlineStr">
        <is>
          <t>KPMG Việt Nam</t>
        </is>
      </c>
      <c r="E12" s="5" t="inlineStr">
        <is>
          <t>2021 &amp; 2020</t>
        </is>
      </c>
      <c r="F12" s="5" t="n">
        <v>78</v>
      </c>
      <c r="G12" s="8" t="inlineStr">
        <is>
          <t>BCĐKT, KQKD Riêng lẻ 2020-2021, TM 10, TM 11, TM 12 (Bóc tách Ngân hàng mẹ vs MCredit, MBS)</t>
        </is>
      </c>
    </row>
    <row r="13" ht="24" customHeight="1">
      <c r="A13" s="5" t="n">
        <v>9</v>
      </c>
      <c r="B13" s="6" t="inlineStr">
        <is>
          <t>MBBank</t>
        </is>
      </c>
      <c r="C13" s="7" t="inlineStr">
        <is>
          <t>MB_BCTC_HN_2022_KiemToan.pdf &amp; BCTN 2022</t>
        </is>
      </c>
      <c r="D13" s="5" t="inlineStr">
        <is>
          <t>KPMG Việt Nam</t>
        </is>
      </c>
      <c r="E13" s="5" t="inlineStr">
        <is>
          <t>2022 &amp; 2021</t>
        </is>
      </c>
      <c r="F13" s="5" t="n">
        <v>83</v>
      </c>
      <c r="G13" s="8" t="inlineStr">
        <is>
          <t>BCĐKT, KQKD Hợp nhất 2022, TM 10, TM 11, TM 12 (Giải quyết mâu thuẫn TPDN TCKT 46.870 tỷ vs TCTD 66.307 tỷ)</t>
        </is>
      </c>
    </row>
    <row r="14" ht="24" customHeight="1">
      <c r="A14" s="5" t="n">
        <v>10</v>
      </c>
      <c r="B14" s="6" t="inlineStr">
        <is>
          <t>MBBank</t>
        </is>
      </c>
      <c r="C14" s="7" t="inlineStr">
        <is>
          <t>MB_BCTC_Rieng_2022_KiemToan.pdf</t>
        </is>
      </c>
      <c r="D14" s="5" t="inlineStr">
        <is>
          <t>KPMG Việt Nam</t>
        </is>
      </c>
      <c r="E14" s="5" t="inlineStr">
        <is>
          <t>2022 &amp; 2021</t>
        </is>
      </c>
      <c r="F14" s="5" t="n">
        <v>73</v>
      </c>
      <c r="G14" s="8" t="inlineStr">
        <is>
          <t>BCĐKT, KQKD Riêng lẻ 2022, TM 10, TM 11, TM 12</t>
        </is>
      </c>
    </row>
    <row r="15" ht="24" customHeight="1">
      <c r="A15" s="5" t="n">
        <v>11</v>
      </c>
      <c r="B15" s="6" t="inlineStr">
        <is>
          <t>MBBank</t>
        </is>
      </c>
      <c r="C15" s="7" t="inlineStr">
        <is>
          <t>MB_BCTC_HN_2023_KiemToan.pdf &amp; 2024_KiemToan.pdf</t>
        </is>
      </c>
      <c r="D15" s="5" t="inlineStr">
        <is>
          <t>KPMG Việt Nam</t>
        </is>
      </c>
      <c r="E15" s="5" t="inlineStr">
        <is>
          <t>2024, 2023, 2022</t>
        </is>
      </c>
      <c r="F15" s="5" t="n">
        <v>199</v>
      </c>
      <c r="G15" s="8" t="inlineStr">
        <is>
          <t>BCĐKT, KQKD Hợp nhất, TM 10, TM 11, TM 13 (TPDN), TM 32 (Thu nợ XLRR), TM 36 (Chi phí dự phòng), TM 42 (TSBĐ)</t>
        </is>
      </c>
    </row>
    <row r="16" ht="24" customHeight="1">
      <c r="A16" s="5" t="n">
        <v>12</v>
      </c>
      <c r="B16" s="6" t="inlineStr">
        <is>
          <t>MBBank</t>
        </is>
      </c>
      <c r="C16" s="7" t="inlineStr">
        <is>
          <t>MB_BCTC_Rieng_2023 &amp; 2024_KiemToan.pdf</t>
        </is>
      </c>
      <c r="D16" s="5" t="inlineStr">
        <is>
          <t>KPMG Việt Nam</t>
        </is>
      </c>
      <c r="E16" s="5" t="inlineStr">
        <is>
          <t>2024, 2023, 2022</t>
        </is>
      </c>
      <c r="F16" s="5" t="n">
        <v>168</v>
      </c>
      <c r="G16" s="8" t="inlineStr">
        <is>
          <t>BCĐKT, KQKD Riêng lẻ 2023-2024, TM 10, TM 11, TM 13</t>
        </is>
      </c>
    </row>
    <row r="17" ht="24" customHeight="1">
      <c r="A17" s="5" t="n">
        <v>13</v>
      </c>
      <c r="B17" s="6" t="inlineStr">
        <is>
          <t>MBBank</t>
        </is>
      </c>
      <c r="C17" s="7" t="inlineStr">
        <is>
          <t>MB_BCTC_HN_2025_KiemToan.pdf &amp; BCTN 2025</t>
        </is>
      </c>
      <c r="D17" s="5" t="inlineStr">
        <is>
          <t>KPMG Việt Nam</t>
        </is>
      </c>
      <c r="E17" s="5" t="inlineStr">
        <is>
          <t>2025 &amp; 2024</t>
        </is>
      </c>
      <c r="F17" s="5" t="n">
        <v>103</v>
      </c>
      <c r="G17" s="8" t="inlineStr">
        <is>
          <t>BCĐKT, KQKD Hợp nhất 2025, TM 9 (Nhóm nợ 1-5 &amp; Ngành), TM 10 (Dự phòng &amp; Xóa nợ), TM 12 (TPDN), TM 31, TM 41 (TSBĐ)</t>
        </is>
      </c>
    </row>
    <row r="18" ht="24" customHeight="1">
      <c r="A18" s="5" t="n">
        <v>14</v>
      </c>
      <c r="B18" s="6" t="inlineStr">
        <is>
          <t>MBBank</t>
        </is>
      </c>
      <c r="C18" s="7" t="inlineStr">
        <is>
          <t>MB_BCTC_Rieng_2025_KiemToan.pdf</t>
        </is>
      </c>
      <c r="D18" s="5" t="inlineStr">
        <is>
          <t>KPMG Việt Nam</t>
        </is>
      </c>
      <c r="E18" s="5" t="inlineStr">
        <is>
          <t>2025 &amp; 2024</t>
        </is>
      </c>
      <c r="F18" s="5" t="n">
        <v>83</v>
      </c>
      <c r="G18" s="8" t="inlineStr">
        <is>
          <t>BCĐKT, KQKD Riêng lẻ 2025 &amp; số trình bày lại 2024 sau điều chỉnh KTNN (369.741 triệu đồng giữa Nhóm 5 và Nhóm 2)</t>
        </is>
      </c>
    </row>
    <row r="19" ht="24" customHeight="1">
      <c r="A19" s="5" t="n">
        <v>15</v>
      </c>
      <c r="B19" s="6" t="inlineStr">
        <is>
          <t>MBBank</t>
        </is>
      </c>
      <c r="C19" s="7" t="inlineStr">
        <is>
          <t>MB_BCTN_2020.pdf -&gt; 2025.pdf (6 cuốn)</t>
        </is>
      </c>
      <c r="D19" s="5" t="inlineStr">
        <is>
          <t>MBBank công bố</t>
        </is>
      </c>
      <c r="E19" s="5" t="inlineStr">
        <is>
          <t>2020 – 2025</t>
        </is>
      </c>
      <c r="F19" s="5" t="n">
        <v>834</v>
      </c>
      <c r="G19" s="8" t="inlineStr">
        <is>
          <t>Hệ số CAR Basel II (Hợp nhất &amp; Riêng lẻ), Quản trị rủi ro, Nợ cơ cấu Covid &amp; TT 02, Báo cáo công ty con MCredit &amp; MBS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58" customWidth="1" min="10" max="10"/>
  </cols>
  <sheetData>
    <row r="1">
      <c r="A1" s="1" t="inlineStr">
        <is>
          <t>DỮ LIỆU GỐC TRÍCH XUẤT BCTC KIỂM TOÁN &amp; BCTN AGRIBANK (2020–2025)</t>
        </is>
      </c>
    </row>
    <row r="2">
      <c r="A2" s="2" t="inlineStr">
        <is>
          <t>Đơn vị: Tỷ đồng (Quy đổi chính xác từ đơn vị Triệu VND trên BCTC Kiểm toán Hợp nhất &amp; Riêng lẻ của Agribank). Chữ XANH = Số gốc BCTC; Chữ ĐEN = Công thức.</t>
        </is>
      </c>
    </row>
    <row r="4" ht="26" customHeight="1">
      <c r="A4" s="3" t="inlineStr">
        <is>
          <t>Mã TM</t>
        </is>
      </c>
      <c r="B4" s="4" t="inlineStr">
        <is>
          <t>Chỉ tiêu Báo cáo Tài chính &amp; Thuyết minh Kiểm toán</t>
        </is>
      </c>
      <c r="C4" s="3" t="inlineStr">
        <is>
          <t>Đơn vị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4" t="inlineStr">
        <is>
          <t>Trích dẫn File PDF gốc, Thuyết minh &amp; Trang</t>
        </is>
      </c>
    </row>
    <row r="5" ht="22" customHeight="1">
      <c r="A5" s="9" t="inlineStr">
        <is>
          <t>I</t>
        </is>
      </c>
      <c r="B5" s="9" t="inlineStr">
        <is>
          <t>BẢNG CÂN ĐỐI KẾ TOÁN &amp; NGOÀI BẢNG (HỢP NHẤT &amp; RIÊNG LẺ)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</row>
    <row r="6" ht="20" customHeight="1">
      <c r="A6" s="11" t="inlineStr">
        <is>
          <t>B02-HN</t>
        </is>
      </c>
      <c r="B6" s="12" t="inlineStr">
        <is>
          <t>Tổng tài sản (Hợp nhất)</t>
        </is>
      </c>
      <c r="C6" s="11" t="inlineStr">
        <is>
          <t>tỷ</t>
        </is>
      </c>
      <c r="D6" s="13" t="n">
        <v>1568126.913</v>
      </c>
      <c r="E6" s="13" t="n">
        <v>1695932.701</v>
      </c>
      <c r="F6" s="13" t="n">
        <v>1874839.155</v>
      </c>
      <c r="G6" s="13" t="n">
        <v>2044927.375</v>
      </c>
      <c r="H6" s="13" t="n">
        <v>2234854.221</v>
      </c>
      <c r="I6" s="13" t="n">
        <v>2686597.826</v>
      </c>
      <c r="J6" s="14" t="inlineStr">
        <is>
          <t>BCTC HN 2020 (tr.7), 2021 (tr.6), 2023 (tr.20), 2025 (tr.126)</t>
        </is>
      </c>
    </row>
    <row r="7" ht="20" customHeight="1">
      <c r="A7" s="15" t="inlineStr">
        <is>
          <t>B02-RL</t>
        </is>
      </c>
      <c r="B7" s="16" t="inlineStr">
        <is>
          <t>Tổng tài sản (Riêng lẻ - Ngân hàng mẹ)</t>
        </is>
      </c>
      <c r="C7" s="15" t="inlineStr">
        <is>
          <t>tỷ</t>
        </is>
      </c>
      <c r="D7" s="17" t="n">
        <v>1566966.881</v>
      </c>
      <c r="E7" s="17" t="n">
        <v>1694231.522</v>
      </c>
      <c r="F7" s="17" t="n">
        <v>1873684.569</v>
      </c>
      <c r="G7" s="17" t="n">
        <v>2042976.182</v>
      </c>
      <c r="H7" s="17" t="n">
        <v>2231961.608</v>
      </c>
      <c r="I7" s="17" t="n">
        <v>2682737.813</v>
      </c>
      <c r="J7" s="18" t="inlineStr">
        <is>
          <t>BCTC Riêng 2021 (tr.6), 2023 (tr.132), 2025 (tr.6)</t>
        </is>
      </c>
    </row>
    <row r="8" ht="20" customHeight="1">
      <c r="A8" s="11" t="inlineStr">
        <is>
          <t>TM 9/10</t>
        </is>
      </c>
      <c r="B8" s="12" t="inlineStr">
        <is>
          <t>Cho vay khách hàng gộp (Hợp nhất)</t>
        </is>
      </c>
      <c r="C8" s="11" t="inlineStr">
        <is>
          <t>tỷ</t>
        </is>
      </c>
      <c r="D8" s="13">
        <f>D24</f>
        <v/>
      </c>
      <c r="E8" s="13">
        <f>E24</f>
        <v/>
      </c>
      <c r="F8" s="13">
        <f>F24</f>
        <v/>
      </c>
      <c r="G8" s="13">
        <f>G24</f>
        <v/>
      </c>
      <c r="H8" s="13">
        <f>H24</f>
        <v/>
      </c>
      <c r="I8" s="13">
        <f>I24</f>
        <v/>
      </c>
      <c r="J8" s="14" t="inlineStr">
        <is>
          <t>TM 9 BCTC HN 2020 (tr.35), TM 10 2021 (tr.45), TM 9 2023 (tr.61), TM 9 2025 (tr.170)</t>
        </is>
      </c>
    </row>
    <row r="9" ht="20" customHeight="1">
      <c r="A9" s="15" t="inlineStr">
        <is>
          <t>TM 9/10</t>
        </is>
      </c>
      <c r="B9" s="16" t="inlineStr">
        <is>
          <t>Cho vay khách hàng gộp (Riêng lẻ - Ngân hàng mẹ)</t>
        </is>
      </c>
      <c r="C9" s="15" t="inlineStr">
        <is>
          <t>tỷ</t>
        </is>
      </c>
      <c r="D9" s="19">
        <f>D22</f>
        <v/>
      </c>
      <c r="E9" s="19">
        <f>E22</f>
        <v/>
      </c>
      <c r="F9" s="19">
        <f>F22</f>
        <v/>
      </c>
      <c r="G9" s="19">
        <f>G22</f>
        <v/>
      </c>
      <c r="H9" s="19">
        <f>H22</f>
        <v/>
      </c>
      <c r="I9" s="19">
        <f>I22</f>
        <v/>
      </c>
      <c r="J9" s="18" t="inlineStr">
        <is>
          <t>TM 10 BCTC Riêng 2021 (tr.38), TM 9 2023 (tr.166), TM 9 2025 (tr.72)</t>
        </is>
      </c>
    </row>
    <row r="10" ht="20" customHeight="1">
      <c r="A10" s="11" t="inlineStr">
        <is>
          <t>TM 10/11</t>
        </is>
      </c>
      <c r="B10" s="12" t="inlineStr">
        <is>
          <t>Dự phòng rủi ro cho vay khách hàng (Hợp nhất)</t>
        </is>
      </c>
      <c r="C10" s="11" t="inlineStr">
        <is>
          <t>tỷ</t>
        </is>
      </c>
      <c r="D10" s="13">
        <f>D33</f>
        <v/>
      </c>
      <c r="E10" s="13">
        <f>E33</f>
        <v/>
      </c>
      <c r="F10" s="13">
        <f>F33</f>
        <v/>
      </c>
      <c r="G10" s="13">
        <f>G33</f>
        <v/>
      </c>
      <c r="H10" s="13">
        <f>H33</f>
        <v/>
      </c>
      <c r="I10" s="13">
        <f>I33</f>
        <v/>
      </c>
      <c r="J10" s="14" t="inlineStr">
        <is>
          <t>TM 10 BCTC HN 2020 (tr.37), TM 11 2021 (tr.48), TM 10 2023 (tr.64), TM 10 2025 (tr.172)</t>
        </is>
      </c>
    </row>
    <row r="11" ht="20" customHeight="1">
      <c r="A11" s="15" t="inlineStr">
        <is>
          <t>TM 10/11</t>
        </is>
      </c>
      <c r="B11" s="16" t="inlineStr">
        <is>
          <t>Dự phòng rủi ro cho vay khách hàng (Riêng lẻ)</t>
        </is>
      </c>
      <c r="C11" s="15" t="inlineStr">
        <is>
          <t>tỷ</t>
        </is>
      </c>
      <c r="D11" s="17" t="n">
        <v>23877.048</v>
      </c>
      <c r="E11" s="17" t="n">
        <v>34023.924</v>
      </c>
      <c r="F11" s="17" t="n">
        <v>36276.157</v>
      </c>
      <c r="G11" s="17" t="n">
        <v>37487.862</v>
      </c>
      <c r="H11" s="17" t="n">
        <v>37770.426</v>
      </c>
      <c r="I11" s="17" t="n">
        <v>36976.803</v>
      </c>
      <c r="J11" s="18" t="inlineStr">
        <is>
          <t>TM 11 BCTC Riêng 2021 (tr.41), TM 10 2023 (tr.169), TM 10 2025 (tr.74)</t>
        </is>
      </c>
    </row>
    <row r="12" ht="20" customHeight="1">
      <c r="A12" s="15" t="inlineStr">
        <is>
          <t>TM 18/19</t>
        </is>
      </c>
      <c r="B12" s="16" t="inlineStr">
        <is>
          <t>Tiền gửi của khách hàng (Hợp nhất)</t>
        </is>
      </c>
      <c r="C12" s="15" t="inlineStr">
        <is>
          <t>tỷ</t>
        </is>
      </c>
      <c r="D12" s="17" t="n">
        <v>1404875.777</v>
      </c>
      <c r="E12" s="17" t="n">
        <v>1542504.377</v>
      </c>
      <c r="F12" s="17" t="n">
        <v>1623935.082</v>
      </c>
      <c r="G12" s="17" t="n">
        <v>1817271.03</v>
      </c>
      <c r="H12" s="17" t="n">
        <v>1914664.361</v>
      </c>
      <c r="I12" s="17" t="n">
        <v>2156382.679</v>
      </c>
      <c r="J12" s="18" t="inlineStr">
        <is>
          <t>B02/TCTD-HN 2020-2025</t>
        </is>
      </c>
    </row>
    <row r="13" ht="20" customHeight="1">
      <c r="A13" s="11" t="inlineStr">
        <is>
          <t>TM 23/24</t>
        </is>
      </c>
      <c r="B13" s="12" t="inlineStr">
        <is>
          <t>Tổng Vốn chủ sở hữu (Hợp nhất)</t>
        </is>
      </c>
      <c r="C13" s="11" t="inlineStr">
        <is>
          <t>tỷ</t>
        </is>
      </c>
      <c r="D13" s="13" t="n">
        <v>73084.295</v>
      </c>
      <c r="E13" s="13" t="n">
        <v>76087.34</v>
      </c>
      <c r="F13" s="13" t="n">
        <v>86997.553</v>
      </c>
      <c r="G13" s="13" t="n">
        <v>100535.854</v>
      </c>
      <c r="H13" s="13" t="n">
        <v>124067.756</v>
      </c>
      <c r="I13" s="13" t="n">
        <v>131191.251</v>
      </c>
      <c r="J13" s="14" t="inlineStr">
        <is>
          <t>B02/TCTD-HN 2020-2025</t>
        </is>
      </c>
    </row>
    <row r="14" ht="20" customHeight="1">
      <c r="A14" s="15" t="inlineStr">
        <is>
          <t>TM 23/24</t>
        </is>
      </c>
      <c r="B14" s="16" t="inlineStr">
        <is>
          <t>Trong đó: Vốn điều lệ</t>
        </is>
      </c>
      <c r="C14" s="15" t="inlineStr">
        <is>
          <t>tỷ</t>
        </is>
      </c>
      <c r="D14" s="17" t="n">
        <v>30709.923</v>
      </c>
      <c r="E14" s="17" t="n">
        <v>34328.393</v>
      </c>
      <c r="F14" s="17" t="n">
        <v>34446.863</v>
      </c>
      <c r="G14" s="17" t="n">
        <v>41268.833</v>
      </c>
      <c r="H14" s="17" t="n">
        <v>51638.603</v>
      </c>
      <c r="I14" s="17" t="n">
        <v>51638.603</v>
      </c>
      <c r="J14" s="18" t="inlineStr">
        <is>
          <t>B02/TCTD-HN 2020-2025</t>
        </is>
      </c>
    </row>
    <row r="15" ht="20" customHeight="1">
      <c r="A15" s="15" t="inlineStr">
        <is>
          <t>TM 39/40</t>
        </is>
      </c>
      <c r="B15" s="16" t="inlineStr">
        <is>
          <t>Ngoài bảng: Nợ khó đòi đã xử lý đang theo dõi (Hợp nhất)</t>
        </is>
      </c>
      <c r="C15" s="15" t="inlineStr">
        <is>
          <t>tỷ</t>
        </is>
      </c>
      <c r="D15" s="17" t="n">
        <v>145000</v>
      </c>
      <c r="E15" s="17" t="n">
        <v>156800</v>
      </c>
      <c r="F15" s="17" t="n">
        <v>181111.736</v>
      </c>
      <c r="G15" s="17" t="n">
        <v>205217.79</v>
      </c>
      <c r="H15" s="17" t="n">
        <v>235401.951</v>
      </c>
      <c r="I15" s="17" t="n">
        <v>278372.378</v>
      </c>
      <c r="J15" s="18" t="inlineStr">
        <is>
          <t>TM 39 BCTC HN 2023 (tr.93), TM 40 BCTC HN 2025 (tr.198); 2020-21 ước tính ngược từ dòng xóa nợ</t>
        </is>
      </c>
    </row>
    <row r="16" ht="22" customHeight="1">
      <c r="A16" s="9" t="inlineStr">
        <is>
          <t>II</t>
        </is>
      </c>
      <c r="B16" s="9" t="inlineStr">
        <is>
          <t>PHÂN TÍCH CHẤT LƯỢNG NỢ CHO VAY (THUYẾT MINH 9 / 10)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20" customHeight="1">
      <c r="A17" s="15" t="inlineStr">
        <is>
          <t>TM 9.1</t>
        </is>
      </c>
      <c r="B17" s="16" t="inlineStr">
        <is>
          <t>Nhóm 1 - Nợ đủ tiêu chuẩn</t>
        </is>
      </c>
      <c r="C17" s="15" t="inlineStr">
        <is>
          <t>tỷ</t>
        </is>
      </c>
      <c r="D17" s="17" t="n">
        <v>1161019.959</v>
      </c>
      <c r="E17" s="17" t="n">
        <v>1261194.332</v>
      </c>
      <c r="F17" s="17" t="n">
        <v>1381920.033</v>
      </c>
      <c r="G17" s="17" t="n">
        <v>1489187.09</v>
      </c>
      <c r="H17" s="17" t="n">
        <v>1662997.762</v>
      </c>
      <c r="I17" s="17" t="n">
        <v>1926570.291</v>
      </c>
      <c r="J17" s="18" t="inlineStr">
        <is>
          <t>TM 9 BCTC HN 2020 (tr.35), TM 10 2021 (tr.45), TM 9 2023 (tr.61), TM 9 2025 (tr.170)</t>
        </is>
      </c>
    </row>
    <row r="18" ht="20" customHeight="1">
      <c r="A18" s="11" t="inlineStr">
        <is>
          <t>TM 9.1</t>
        </is>
      </c>
      <c r="B18" s="12" t="inlineStr">
        <is>
          <t>Nhóm 2 - Nợ cần chú ý</t>
        </is>
      </c>
      <c r="C18" s="11" t="inlineStr">
        <is>
          <t>tỷ</t>
        </is>
      </c>
      <c r="D18" s="13" t="n">
        <v>30077.806</v>
      </c>
      <c r="E18" s="13" t="n">
        <v>28446.282</v>
      </c>
      <c r="F18" s="13" t="n">
        <v>35279.613</v>
      </c>
      <c r="G18" s="13" t="n">
        <v>32339.641</v>
      </c>
      <c r="H18" s="13" t="n">
        <v>29202.409</v>
      </c>
      <c r="I18" s="13" t="n">
        <v>21282.062</v>
      </c>
      <c r="J18" s="14" t="inlineStr">
        <is>
          <t>TM 9 BCTC HN 2020 (tr.35), TM 10 2021 (tr.45), TM 9 2023 (tr.61), TM 9 2025 (tr.170)</t>
        </is>
      </c>
    </row>
    <row r="19" ht="20" customHeight="1">
      <c r="A19" s="15" t="inlineStr">
        <is>
          <t>TM 9.1</t>
        </is>
      </c>
      <c r="B19" s="16" t="inlineStr">
        <is>
          <t>Nhóm 3 - Nợ dưới tiêu chuẩn</t>
        </is>
      </c>
      <c r="C19" s="15" t="inlineStr">
        <is>
          <t>tỷ</t>
        </is>
      </c>
      <c r="D19" s="17" t="n">
        <v>2744.748</v>
      </c>
      <c r="E19" s="17" t="n">
        <v>3141.256</v>
      </c>
      <c r="F19" s="17" t="n">
        <v>3887.707</v>
      </c>
      <c r="G19" s="17" t="n">
        <v>3880.436</v>
      </c>
      <c r="H19" s="17" t="n">
        <v>2282.808</v>
      </c>
      <c r="I19" s="17" t="n">
        <v>3325.667</v>
      </c>
      <c r="J19" s="18" t="inlineStr">
        <is>
          <t>TM 9 BCTC HN 2020 (tr.35), TM 10 2021 (tr.45), TM 9 2023 (tr.61), TM 9 2025 (tr.170)</t>
        </is>
      </c>
    </row>
    <row r="20" ht="20" customHeight="1">
      <c r="A20" s="15" t="inlineStr">
        <is>
          <t>TM 9.1</t>
        </is>
      </c>
      <c r="B20" s="16" t="inlineStr">
        <is>
          <t>Nhóm 4 - Nợ nghi ngờ</t>
        </is>
      </c>
      <c r="C20" s="15" t="inlineStr">
        <is>
          <t>tỷ</t>
        </is>
      </c>
      <c r="D20" s="17" t="n">
        <v>2425.499</v>
      </c>
      <c r="E20" s="17" t="n">
        <v>3379.431</v>
      </c>
      <c r="F20" s="17" t="n">
        <v>3176.562</v>
      </c>
      <c r="G20" s="17" t="n">
        <v>5592.596</v>
      </c>
      <c r="H20" s="17" t="n">
        <v>4088.234</v>
      </c>
      <c r="I20" s="17" t="n">
        <v>2064.309</v>
      </c>
      <c r="J20" s="18" t="inlineStr">
        <is>
          <t>TM 9 BCTC HN 2020 (tr.35), TM 10 2021 (tr.45), TM 9 2023 (tr.61), TM 9 2025 (tr.170)</t>
        </is>
      </c>
    </row>
    <row r="21" ht="20" customHeight="1">
      <c r="A21" s="11" t="inlineStr">
        <is>
          <t>TM 9.1</t>
        </is>
      </c>
      <c r="B21" s="12" t="inlineStr">
        <is>
          <t>Nhóm 5 - Nợ có khả năng mất vốn</t>
        </is>
      </c>
      <c r="C21" s="11" t="inlineStr">
        <is>
          <t>tỷ</t>
        </is>
      </c>
      <c r="D21" s="13" t="n">
        <v>16356.701</v>
      </c>
      <c r="E21" s="13" t="n">
        <v>18033.338</v>
      </c>
      <c r="F21" s="13" t="n">
        <v>19000.009</v>
      </c>
      <c r="G21" s="13" t="n">
        <v>19247.538</v>
      </c>
      <c r="H21" s="13" t="n">
        <v>22637.559</v>
      </c>
      <c r="I21" s="13" t="n">
        <v>20220.426</v>
      </c>
      <c r="J21" s="14" t="inlineStr">
        <is>
          <t>TM 9 BCTC HN 2020 (tr.35), TM 10 2021 (tr.45), TM 9 2023 (tr.61), TM 9 2025 (tr.170)</t>
        </is>
      </c>
    </row>
    <row r="22" ht="20" customHeight="1">
      <c r="A22" s="11" t="inlineStr">
        <is>
          <t>TM 9.1</t>
        </is>
      </c>
      <c r="B22" s="12" t="inlineStr">
        <is>
          <t>Cộng Dư nợ Ngân hàng mẹ (Riêng lẻ = Nhóm 1..5)</t>
        </is>
      </c>
      <c r="C22" s="11" t="inlineStr">
        <is>
          <t>tỷ</t>
        </is>
      </c>
      <c r="D22" s="13">
        <f>SUM(D17:D21)</f>
        <v/>
      </c>
      <c r="E22" s="13">
        <f>SUM(E17:E21)</f>
        <v/>
      </c>
      <c r="F22" s="13">
        <f>SUM(F17:F21)</f>
        <v/>
      </c>
      <c r="G22" s="13">
        <f>SUM(G17:G21)</f>
        <v/>
      </c>
      <c r="H22" s="13">
        <f>SUM(H17:H21)</f>
        <v/>
      </c>
      <c r="I22" s="13">
        <f>SUM(I17:I21)</f>
        <v/>
      </c>
      <c r="J22" s="14" t="inlineStr">
        <is>
          <t>Tổng cộng dư nợ phân loại Nhóm 1-5 tại Ngân hàng mẹ</t>
        </is>
      </c>
    </row>
    <row r="23" ht="20" customHeight="1">
      <c r="A23" s="15" t="inlineStr">
        <is>
          <t>TM 9.1</t>
        </is>
      </c>
      <c r="B23" s="16" t="inlineStr">
        <is>
          <t>Dư nợ cho vay và CTTC của công ty con (ALC I, ALC II) với KH ngoài</t>
        </is>
      </c>
      <c r="C23" s="15" t="inlineStr">
        <is>
          <t>tỷ</t>
        </is>
      </c>
      <c r="D23" s="17" t="n">
        <v>1333.532</v>
      </c>
      <c r="E23" s="17" t="n">
        <v>2254.325</v>
      </c>
      <c r="F23" s="17" t="n">
        <v>1537.837</v>
      </c>
      <c r="G23" s="17" t="n">
        <v>1910.526</v>
      </c>
      <c r="H23" s="17" t="n">
        <v>2173.422</v>
      </c>
      <c r="I23" s="17" t="n">
        <v>2906.02</v>
      </c>
      <c r="J23" s="18" t="inlineStr">
        <is>
          <t>TM 9 BCTC HN 2020 (tr.35), TM 10 2021 (tr.45), TM 9 2023 (tr.61), TM 9 2025 (tr.170)</t>
        </is>
      </c>
    </row>
    <row r="24" ht="20" customHeight="1">
      <c r="A24" s="11" t="inlineStr">
        <is>
          <t>TM 9.1</t>
        </is>
      </c>
      <c r="B24" s="12" t="inlineStr">
        <is>
          <t>Tổng Dư nợ cho vay khách hàng Hợp nhất</t>
        </is>
      </c>
      <c r="C24" s="11" t="inlineStr">
        <is>
          <t>tỷ</t>
        </is>
      </c>
      <c r="D24" s="13">
        <f>D22+D23</f>
        <v/>
      </c>
      <c r="E24" s="13">
        <f>E22+E23</f>
        <v/>
      </c>
      <c r="F24" s="13">
        <f>F22+F23</f>
        <v/>
      </c>
      <c r="G24" s="13">
        <f>G22+G23</f>
        <v/>
      </c>
      <c r="H24" s="13">
        <f>H22+H23</f>
        <v/>
      </c>
      <c r="I24" s="13">
        <f>I22+I23</f>
        <v/>
      </c>
      <c r="J24" s="14" t="inlineStr">
        <is>
          <t>Khớp 100% chỉ tiêu VI.1 trên Bảng cân đối kế toán Hợp nhất</t>
        </is>
      </c>
    </row>
    <row r="25" ht="20" customHeight="1">
      <c r="A25" s="11" t="inlineStr">
        <is>
          <t>TM 9.1</t>
        </is>
      </c>
      <c r="B25" s="12" t="inlineStr">
        <is>
          <t>Tổng Nợ xấu nội bảng (Nhóm 3 + Nhóm 4 + Nhóm 5)</t>
        </is>
      </c>
      <c r="C25" s="11" t="inlineStr">
        <is>
          <t>tỷ</t>
        </is>
      </c>
      <c r="D25" s="13">
        <f>SUM(D19:D21)</f>
        <v/>
      </c>
      <c r="E25" s="13">
        <f>SUM(E19:E21)</f>
        <v/>
      </c>
      <c r="F25" s="13">
        <f>SUM(F19:F21)</f>
        <v/>
      </c>
      <c r="G25" s="13">
        <f>SUM(G19:G21)</f>
        <v/>
      </c>
      <c r="H25" s="13">
        <f>SUM(H19:H21)</f>
        <v/>
      </c>
      <c r="I25" s="13">
        <f>SUM(I19:I21)</f>
        <v/>
      </c>
      <c r="J25" s="14" t="inlineStr">
        <is>
          <t>Tổng nợ xấu Nhóm 3-5 theo Thuyết minh BCTC kiểm toán</t>
        </is>
      </c>
    </row>
    <row r="26" ht="20" customHeight="1">
      <c r="A26" s="11" t="inlineStr">
        <is>
          <t>Tỷ lệ</t>
        </is>
      </c>
      <c r="B26" s="12" t="inlineStr">
        <is>
          <t>Tỷ lệ NPL tính từ BCTC Hợp nhất (= Nợ xấu / Dư nợ HN)</t>
        </is>
      </c>
      <c r="C26" s="11" t="inlineStr">
        <is>
          <t>%</t>
        </is>
      </c>
      <c r="D26" s="20">
        <f>D25/D24</f>
        <v/>
      </c>
      <c r="E26" s="20">
        <f>E25/E24</f>
        <v/>
      </c>
      <c r="F26" s="20">
        <f>F25/F24</f>
        <v/>
      </c>
      <c r="G26" s="20">
        <f>G25/G24</f>
        <v/>
      </c>
      <c r="H26" s="20">
        <f>H25/H24</f>
        <v/>
      </c>
      <c r="I26" s="20">
        <f>I25/I24</f>
        <v/>
      </c>
      <c r="J26" s="14" t="inlineStr">
        <is>
          <t>Tỷ lệ nợ xấu tính trực tiếp trên Dư nợ cho vay KH Hợp nhất</t>
        </is>
      </c>
    </row>
    <row r="27" ht="20" customHeight="1">
      <c r="A27" s="15" t="inlineStr">
        <is>
          <t>Tỷ lệ</t>
        </is>
      </c>
      <c r="B27" s="16" t="inlineStr">
        <is>
          <t>Tỷ lệ NPL tính từ BCTC Riêng lẻ (= Nợ xấu / Dư nợ Riêng)</t>
        </is>
      </c>
      <c r="C27" s="15" t="inlineStr">
        <is>
          <t>%</t>
        </is>
      </c>
      <c r="D27" s="21">
        <f>D25/D22</f>
        <v/>
      </c>
      <c r="E27" s="21">
        <f>E25/E22</f>
        <v/>
      </c>
      <c r="F27" s="21">
        <f>F25/F22</f>
        <v/>
      </c>
      <c r="G27" s="21">
        <f>G25/G22</f>
        <v/>
      </c>
      <c r="H27" s="21">
        <f>H25/H22</f>
        <v/>
      </c>
      <c r="I27" s="21">
        <f>I25/I22</f>
        <v/>
      </c>
      <c r="J27" s="18" t="inlineStr">
        <is>
          <t>Tỷ lệ nợ xấu tính trực tiếp trên Dư nợ cho vay KH Ngân hàng mẹ</t>
        </is>
      </c>
    </row>
    <row r="28" ht="20" customHeight="1">
      <c r="A28" s="11" t="inlineStr">
        <is>
          <t>BCTN</t>
        </is>
      </c>
      <c r="B28" s="12" t="inlineStr">
        <is>
          <t>Tỷ lệ NPL nội bảng chuẩn TT11/TT31 (Bảng chỉ tiêu BCTN 2024-2025)</t>
        </is>
      </c>
      <c r="C28" s="11" t="inlineStr">
        <is>
          <t>%</t>
        </is>
      </c>
      <c r="D28" s="20" t="n">
        <v>0.0163</v>
      </c>
      <c r="E28" s="20" t="n">
        <v>0.0178</v>
      </c>
      <c r="F28" s="20" t="n">
        <v>0.0171</v>
      </c>
      <c r="G28" s="20" t="n">
        <v>0.0177</v>
      </c>
      <c r="H28" s="20" t="n">
        <v>0.0158</v>
      </c>
      <c r="I28" s="20" t="n">
        <v>0.0117</v>
      </c>
      <c r="J28" s="14" t="inlineStr">
        <is>
          <t>BCTN 2024 (tr.16 PDF) &amp; BCTN 2025 (tr.21 PDF) - tính trên tổng cấp TD nội bảng</t>
        </is>
      </c>
    </row>
    <row r="29" ht="20" customHeight="1">
      <c r="A29" s="15" t="inlineStr">
        <is>
          <t>BCTN</t>
        </is>
      </c>
      <c r="B29" s="16" t="inlineStr">
        <is>
          <t>Tỷ lệ NPL theo Báo cáo điều hành từng năm (BCTN 2020-2025)</t>
        </is>
      </c>
      <c r="C29" s="15" t="inlineStr">
        <is>
          <t>%</t>
        </is>
      </c>
      <c r="D29" s="22" t="n">
        <v>0.0164</v>
      </c>
      <c r="E29" s="22" t="n">
        <v>0.0171</v>
      </c>
      <c r="F29" s="22" t="n">
        <v>0.0164</v>
      </c>
      <c r="G29" s="22" t="n">
        <v>0.0165</v>
      </c>
      <c r="H29" s="22" t="n">
        <v>0.0156</v>
      </c>
      <c r="I29" s="22" t="n">
        <v>0.0114</v>
      </c>
      <c r="J29" s="18" t="inlineStr">
        <is>
          <t>BCTN 2020 (tr.18), 2021 (tr.34), 2022 (tr.38), 2023 (tr.39), 2024 (tr.10), 2025 (tr.4)</t>
        </is>
      </c>
    </row>
    <row r="30" ht="22" customHeight="1">
      <c r="A30" s="9" t="inlineStr">
        <is>
          <t>III</t>
        </is>
      </c>
      <c r="B30" s="9" t="inlineStr">
        <is>
          <t>BIẾN ĐỘNG DỰ PHÒNG RỦI RO CHO VAY KHÁCH HÀNG HỢP NHẤT (TM 10 / 11)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 ht="20" customHeight="1">
      <c r="A31" s="15" t="inlineStr">
        <is>
          <t>TM 10/11</t>
        </is>
      </c>
      <c r="B31" s="16" t="inlineStr">
        <is>
          <t>Số dư Dự phòng chung cuối năm (Hợp nhất)</t>
        </is>
      </c>
      <c r="C31" s="15" t="inlineStr">
        <is>
          <t>tỷ</t>
        </is>
      </c>
      <c r="D31" s="17" t="n">
        <v>8856.752</v>
      </c>
      <c r="E31" s="17" t="n">
        <v>9743.324000000001</v>
      </c>
      <c r="F31" s="17" t="n">
        <v>10598.299</v>
      </c>
      <c r="G31" s="17" t="n">
        <v>11412.795</v>
      </c>
      <c r="H31" s="17" t="n">
        <v>12628.766</v>
      </c>
      <c r="I31" s="17" t="n">
        <v>14602.264</v>
      </c>
      <c r="J31" s="18" t="inlineStr">
        <is>
          <t>TM 10 BCTC HN 2020 (tr.37), TM 11 2021 (tr.48), TM 10 2023 (tr.64), TM 10 2025 (tr.172)</t>
        </is>
      </c>
    </row>
    <row r="32" ht="20" customHeight="1">
      <c r="A32" s="15" t="inlineStr">
        <is>
          <t>TM 10/11</t>
        </is>
      </c>
      <c r="B32" s="16" t="inlineStr">
        <is>
          <t>Số dư Dự phòng cụ thể cuối năm (Hợp nhất)</t>
        </is>
      </c>
      <c r="C32" s="15" t="inlineStr">
        <is>
          <t>tỷ</t>
        </is>
      </c>
      <c r="D32" s="17" t="n">
        <v>15600.737</v>
      </c>
      <c r="E32" s="17" t="n">
        <v>24840.15</v>
      </c>
      <c r="F32" s="17" t="n">
        <v>26237.403</v>
      </c>
      <c r="G32" s="17" t="n">
        <v>26600.362</v>
      </c>
      <c r="H32" s="17" t="n">
        <v>25649.989</v>
      </c>
      <c r="I32" s="17" t="n">
        <v>22862.985</v>
      </c>
      <c r="J32" s="18" t="inlineStr">
        <is>
          <t>TM 10 BCTC HN 2020 (tr.37), TM 11 2021 (tr.48), TM 10 2023 (tr.64), TM 10 2025 (tr.173)</t>
        </is>
      </c>
    </row>
    <row r="33" ht="20" customHeight="1">
      <c r="A33" s="11" t="inlineStr">
        <is>
          <t>TM 10/11</t>
        </is>
      </c>
      <c r="B33" s="12" t="inlineStr">
        <is>
          <t>Tổng số dư Dự phòng rủi ro cho vay KH cuối năm (Hợp nhất)</t>
        </is>
      </c>
      <c r="C33" s="11" t="inlineStr">
        <is>
          <t>tỷ</t>
        </is>
      </c>
      <c r="D33" s="13">
        <f>D31+D32</f>
        <v/>
      </c>
      <c r="E33" s="13">
        <f>E31+E32</f>
        <v/>
      </c>
      <c r="F33" s="13">
        <f>F31+F32</f>
        <v/>
      </c>
      <c r="G33" s="13">
        <f>G31+G32</f>
        <v/>
      </c>
      <c r="H33" s="13">
        <f>H31+H32</f>
        <v/>
      </c>
      <c r="I33" s="13">
        <f>I31+I32</f>
        <v/>
      </c>
      <c r="J33" s="14" t="inlineStr">
        <is>
          <t>Tổng quỹ dự phòng rủi ro cho vay khách hàng = DP chung + DP cụ thể</t>
        </is>
      </c>
    </row>
    <row r="34" ht="20" customHeight="1">
      <c r="A34" s="15" t="inlineStr">
        <is>
          <t>TM 10/11</t>
        </is>
      </c>
      <c r="B34" s="16" t="inlineStr">
        <is>
          <t>Tổng trích lập dự phòng cho vay KH trong năm (Hợp nhất)</t>
        </is>
      </c>
      <c r="C34" s="15" t="inlineStr">
        <is>
          <t>tỷ</t>
        </is>
      </c>
      <c r="D34" s="17" t="n">
        <v>18732.286</v>
      </c>
      <c r="E34" s="17" t="n">
        <v>22047.625</v>
      </c>
      <c r="F34" s="17" t="n">
        <v>27171.919</v>
      </c>
      <c r="G34" s="17" t="n">
        <v>19347.073</v>
      </c>
      <c r="H34" s="17" t="n">
        <v>26658.287</v>
      </c>
      <c r="I34" s="17" t="n">
        <v>31807.972</v>
      </c>
      <c r="J34" s="18" t="inlineStr">
        <is>
          <t>TM 10/11 BCTC HN (Trích lập DP chung + Trích lập DP cụ thể trong năm)</t>
        </is>
      </c>
    </row>
    <row r="35" ht="20" customHeight="1">
      <c r="A35" s="11" t="inlineStr">
        <is>
          <t>TM 10/11</t>
        </is>
      </c>
      <c r="B35" s="12" t="inlineStr">
        <is>
          <t>Sử dụng dự phòng để xử lý rủi ro trong năm (Nợ xóa - Hợp nhất)</t>
        </is>
      </c>
      <c r="C35" s="11" t="inlineStr">
        <is>
          <t>tỷ</t>
        </is>
      </c>
      <c r="D35" s="13" t="n">
        <v>14125.505</v>
      </c>
      <c r="E35" s="13" t="n">
        <v>11921.64</v>
      </c>
      <c r="F35" s="13" t="n">
        <v>24547.581</v>
      </c>
      <c r="G35" s="13" t="n">
        <v>18169.618</v>
      </c>
      <c r="H35" s="13" t="n">
        <v>26444.41</v>
      </c>
      <c r="I35" s="13" t="n">
        <v>32621.478</v>
      </c>
      <c r="J35" s="14" t="inlineStr">
        <is>
          <t>TM 10 BCTC HN 2020 (tr.37), TM 11 2021 (tr.48), TM 10 2023 (tr.64), TM 10 2025 (tr.173)</t>
        </is>
      </c>
    </row>
    <row r="36" ht="20" customHeight="1">
      <c r="A36" s="11" t="inlineStr">
        <is>
          <t>Tỷ lệ</t>
        </is>
      </c>
      <c r="B36" s="12" t="inlineStr">
        <is>
          <t>Tỷ lệ bao phủ nợ xấu Hợp nhất (LLCR = Tổng DPRR HN / Nợ xấu)</t>
        </is>
      </c>
      <c r="C36" s="11" t="inlineStr">
        <is>
          <t>%</t>
        </is>
      </c>
      <c r="D36" s="23">
        <f>D33/D25</f>
        <v/>
      </c>
      <c r="E36" s="23">
        <f>E33/E25</f>
        <v/>
      </c>
      <c r="F36" s="23">
        <f>F33/F25</f>
        <v/>
      </c>
      <c r="G36" s="23">
        <f>G33/G25</f>
        <v/>
      </c>
      <c r="H36" s="23">
        <f>H33/H25</f>
        <v/>
      </c>
      <c r="I36" s="23">
        <f>I33/I25</f>
        <v/>
      </c>
      <c r="J36" s="14" t="inlineStr">
        <is>
          <t>LLCR Hợp nhất tính trực tiếp từ BCTC Kiểm toán</t>
        </is>
      </c>
    </row>
    <row r="37" ht="20" customHeight="1">
      <c r="A37" s="15" t="inlineStr">
        <is>
          <t>Tỷ lệ</t>
        </is>
      </c>
      <c r="B37" s="16" t="inlineStr">
        <is>
          <t>Tỷ lệ bao phủ nợ xấu Riêng lẻ (LLCR = Tổng DPRR Riêng / Nợ xấu)</t>
        </is>
      </c>
      <c r="C37" s="15" t="inlineStr">
        <is>
          <t>%</t>
        </is>
      </c>
      <c r="D37" s="24">
        <f>D11/D25</f>
        <v/>
      </c>
      <c r="E37" s="24">
        <f>E11/E25</f>
        <v/>
      </c>
      <c r="F37" s="24">
        <f>F11/F25</f>
        <v/>
      </c>
      <c r="G37" s="24">
        <f>G11/G25</f>
        <v/>
      </c>
      <c r="H37" s="24">
        <f>H11/H25</f>
        <v/>
      </c>
      <c r="I37" s="24">
        <f>I11/I25</f>
        <v/>
      </c>
      <c r="J37" s="18" t="inlineStr">
        <is>
          <t>LLCR Ngân hàng mẹ tính trực tiếp từ BCTC Kiểm toán Riêng lẻ</t>
        </is>
      </c>
    </row>
    <row r="38" ht="22" customHeight="1">
      <c r="A38" s="9" t="inlineStr">
        <is>
          <t>IV</t>
        </is>
      </c>
      <c r="B38" s="9" t="inlineStr">
        <is>
          <t>BÁO CÁO KẾT QUẢ HOẠT ĐỘNG KINH DOANH HỢP NHẤT &amp; THU NỢ XLRR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 ht="20" customHeight="1">
      <c r="A39" s="15" t="inlineStr">
        <is>
          <t>B03-HN</t>
        </is>
      </c>
      <c r="B39" s="16" t="inlineStr">
        <is>
          <t>Thu nhập lãi thuần (NII - Hợp nhất)</t>
        </is>
      </c>
      <c r="C39" s="15" t="inlineStr">
        <is>
          <t>tỷ</t>
        </is>
      </c>
      <c r="D39" s="17" t="n">
        <v>43660.623</v>
      </c>
      <c r="E39" s="17" t="n">
        <v>47041.165</v>
      </c>
      <c r="F39" s="17" t="n">
        <v>60189.542</v>
      </c>
      <c r="G39" s="17" t="n">
        <v>55964.737</v>
      </c>
      <c r="H39" s="17" t="n">
        <v>66554.11599999999</v>
      </c>
      <c r="I39" s="17" t="n">
        <v>70616.60000000001</v>
      </c>
      <c r="J39" s="18" t="inlineStr">
        <is>
          <t>B03/TCTD-HN: 2020 (tr.10), 2021 (tr.10), 2023 (tr.24), 2025 (tr.130)</t>
        </is>
      </c>
    </row>
    <row r="40" ht="20" customHeight="1">
      <c r="A40" s="15" t="inlineStr">
        <is>
          <t>TM 29/30</t>
        </is>
      </c>
      <c r="B40" s="16" t="inlineStr">
        <is>
          <t>Lãi thuần từ hoạt động khác (Mục VI KQKD Hợp nhất)</t>
        </is>
      </c>
      <c r="C40" s="15" t="inlineStr">
        <is>
          <t>tỷ</t>
        </is>
      </c>
      <c r="D40" s="17" t="n">
        <v>8107.448</v>
      </c>
      <c r="E40" s="17" t="n">
        <v>8257.912</v>
      </c>
      <c r="F40" s="17" t="n">
        <v>9842.212</v>
      </c>
      <c r="G40" s="17" t="n">
        <v>10529.197</v>
      </c>
      <c r="H40" s="17" t="n">
        <v>10453.924</v>
      </c>
      <c r="I40" s="17" t="n">
        <v>16182.827</v>
      </c>
      <c r="J40" s="18" t="inlineStr">
        <is>
          <t>TM 30 BCTC HN 2020 (tr.58), 2021 (tr.65), TM 29 2023 (tr.86), TM 30 2025 (tr.193)</t>
        </is>
      </c>
    </row>
    <row r="41" ht="20" customHeight="1">
      <c r="A41" s="11" t="inlineStr">
        <is>
          <t>TM 29/30</t>
        </is>
      </c>
      <c r="B41" s="12" t="inlineStr">
        <is>
          <t>Trong đó: Thu từ các khoản nợ đã xử lý rủi ro (TM 29/30 BCTC)</t>
        </is>
      </c>
      <c r="C41" s="11" t="inlineStr">
        <is>
          <t>tỷ</t>
        </is>
      </c>
      <c r="D41" s="13" t="n">
        <v>8673.418</v>
      </c>
      <c r="E41" s="13" t="n">
        <v>8810.266</v>
      </c>
      <c r="F41" s="13" t="n">
        <v>10267.203</v>
      </c>
      <c r="G41" s="13" t="n">
        <v>11167.15</v>
      </c>
      <c r="H41" s="13" t="n">
        <v>8412.708000000001</v>
      </c>
      <c r="I41" s="13" t="n">
        <v>12122.774</v>
      </c>
      <c r="J41" s="14" t="inlineStr">
        <is>
          <t>TM 30 BCTC HN 2020 (tr.58), 2021 (tr.65), TM 29 2023 (tr.86), TM 30 2025 (tr.193)</t>
        </is>
      </c>
    </row>
    <row r="42" ht="20" customHeight="1">
      <c r="A42" s="15" t="inlineStr">
        <is>
          <t>BCTN</t>
        </is>
      </c>
      <c r="B42" s="16" t="inlineStr">
        <is>
          <t>Tổng thu nợ sau xử lý rủi ro công bố tại BCTN (gồm thu xử lý TS)</t>
        </is>
      </c>
      <c r="C42" s="15" t="inlineStr">
        <is>
          <t>tỷ</t>
        </is>
      </c>
      <c r="D42" s="17" t="n">
        <v>8673.418</v>
      </c>
      <c r="E42" s="17" t="n">
        <v>8810.266</v>
      </c>
      <c r="F42" s="17" t="n">
        <v>10267.203</v>
      </c>
      <c r="G42" s="17" t="n">
        <v>11167.15</v>
      </c>
      <c r="H42" s="17" t="n">
        <v>11662</v>
      </c>
      <c r="I42" s="17" t="n">
        <v>16305</v>
      </c>
      <c r="J42" s="18" t="inlineStr">
        <is>
          <t>BCTN 2024 (tr.27 PDF: 11.662 tỷ) &amp; BCTN 2025 (tr.4 PDF: 16.305 tỷ)</t>
        </is>
      </c>
    </row>
    <row r="43" ht="20" customHeight="1">
      <c r="A43" s="11" t="inlineStr">
        <is>
          <t>B03-HN</t>
        </is>
      </c>
      <c r="B43" s="12" t="inlineStr">
        <is>
          <t>Tổng thu nhập hoạt động (TOI - Hợp nhất)</t>
        </is>
      </c>
      <c r="C43" s="11" t="inlineStr">
        <is>
          <t>tỷ</t>
        </is>
      </c>
      <c r="D43" s="13" t="n">
        <v>58052.435</v>
      </c>
      <c r="E43" s="13" t="n">
        <v>62106.224</v>
      </c>
      <c r="F43" s="13" t="n">
        <v>77860.561</v>
      </c>
      <c r="G43" s="13" t="n">
        <v>76138.662</v>
      </c>
      <c r="H43" s="13" t="n">
        <v>86496.47</v>
      </c>
      <c r="I43" s="13" t="n">
        <v>97521.784</v>
      </c>
      <c r="J43" s="14" t="inlineStr">
        <is>
          <t>B03/TCTD-HN 2020-2025</t>
        </is>
      </c>
    </row>
    <row r="44" ht="20" customHeight="1">
      <c r="A44" s="15" t="inlineStr">
        <is>
          <t>TM 32/33</t>
        </is>
      </c>
      <c r="B44" s="16" t="inlineStr">
        <is>
          <t>Tổng chi phí hoạt động (OPEX - Hợp nhất)</t>
        </is>
      </c>
      <c r="C44" s="15" t="inlineStr">
        <is>
          <t>tỷ</t>
        </is>
      </c>
      <c r="D44" s="17" t="n">
        <v>26117.208</v>
      </c>
      <c r="E44" s="17" t="n">
        <v>24801.001</v>
      </c>
      <c r="F44" s="17" t="n">
        <v>28150.016</v>
      </c>
      <c r="G44" s="17" t="n">
        <v>30932.407</v>
      </c>
      <c r="H44" s="17" t="n">
        <v>32263.408</v>
      </c>
      <c r="I44" s="17" t="n">
        <v>34543.97</v>
      </c>
      <c r="J44" s="18" t="inlineStr">
        <is>
          <t>B03/TCTD-HN 2020-2025</t>
        </is>
      </c>
    </row>
    <row r="45" ht="20" customHeight="1">
      <c r="A45" s="11" t="inlineStr">
        <is>
          <t>B03-HN</t>
        </is>
      </c>
      <c r="B45" s="12" t="inlineStr">
        <is>
          <t>Lợi nhuận thuần từ HĐKD trước CP DPRR (PPOP - Hợp nhất)</t>
        </is>
      </c>
      <c r="C45" s="11" t="inlineStr">
        <is>
          <t>tỷ</t>
        </is>
      </c>
      <c r="D45" s="13">
        <f>D43-D44</f>
        <v/>
      </c>
      <c r="E45" s="13">
        <f>E43-E44</f>
        <v/>
      </c>
      <c r="F45" s="13">
        <f>F43-F44</f>
        <v/>
      </c>
      <c r="G45" s="13">
        <f>G43-G44</f>
        <v/>
      </c>
      <c r="H45" s="13">
        <f>H43-H44</f>
        <v/>
      </c>
      <c r="I45" s="13">
        <f>I43-I44</f>
        <v/>
      </c>
      <c r="J45" s="14" t="inlineStr">
        <is>
          <t>TOI trừ OPEX trên B03/TCTD-HN</t>
        </is>
      </c>
    </row>
    <row r="46" ht="20" customHeight="1">
      <c r="A46" s="11" t="inlineStr">
        <is>
          <t>B03-HN</t>
        </is>
      </c>
      <c r="B46" s="12" t="inlineStr">
        <is>
          <t>Chi phí dự phòng rủi ro tín dụng trên KQKD (Hợp nhất)</t>
        </is>
      </c>
      <c r="C46" s="11" t="inlineStr">
        <is>
          <t>tỷ</t>
        </is>
      </c>
      <c r="D46" s="13" t="n">
        <v>18732.286</v>
      </c>
      <c r="E46" s="13" t="n">
        <v>22047.625</v>
      </c>
      <c r="F46" s="13" t="n">
        <v>27171.92</v>
      </c>
      <c r="G46" s="13" t="n">
        <v>19347.073</v>
      </c>
      <c r="H46" s="13" t="n">
        <v>26658.287</v>
      </c>
      <c r="I46" s="13" t="n">
        <v>31808.213</v>
      </c>
      <c r="J46" s="14" t="inlineStr">
        <is>
          <t>B03/TCTD-HN 2020-2025 (Ghi chú: BCTN 2025 sau ĐC KTNN năm 2021 là 21.676, năm 2023 là 19.399)</t>
        </is>
      </c>
    </row>
    <row r="47" ht="20" customHeight="1">
      <c r="A47" s="11" t="inlineStr">
        <is>
          <t>B03-HN</t>
        </is>
      </c>
      <c r="B47" s="12" t="inlineStr">
        <is>
          <t>Tổng lợi nhuận trước thuế (LNTT - Hợp nhất)</t>
        </is>
      </c>
      <c r="C47" s="11" t="inlineStr">
        <is>
          <t>tỷ</t>
        </is>
      </c>
      <c r="D47" s="13">
        <f>D45-D46</f>
        <v/>
      </c>
      <c r="E47" s="13">
        <f>E45-E46</f>
        <v/>
      </c>
      <c r="F47" s="13">
        <f>F45-F46</f>
        <v/>
      </c>
      <c r="G47" s="13">
        <f>G45-G46</f>
        <v/>
      </c>
      <c r="H47" s="13">
        <f>H45-H46</f>
        <v/>
      </c>
      <c r="I47" s="13">
        <f>I45-I46</f>
        <v/>
      </c>
      <c r="J47" s="14" t="inlineStr">
        <is>
          <t>B03/TCTD-HN 2020-2025 (BCTN 2025 sau ĐC KTNN: 2020=12.869, 2021=15.339, 2023=25.641)</t>
        </is>
      </c>
    </row>
    <row r="48" ht="20" customHeight="1">
      <c r="A48" s="11" t="inlineStr">
        <is>
          <t>B03-HN</t>
        </is>
      </c>
      <c r="B48" s="12" t="inlineStr">
        <is>
          <t>Lợi nhuận sau thuế (LNST - Hợp nhất)</t>
        </is>
      </c>
      <c r="C48" s="11" t="inlineStr">
        <is>
          <t>tỷ</t>
        </is>
      </c>
      <c r="D48" s="13" t="n">
        <v>10516.804</v>
      </c>
      <c r="E48" s="13" t="n">
        <v>12261.032</v>
      </c>
      <c r="F48" s="13" t="n">
        <v>18043</v>
      </c>
      <c r="G48" s="13" t="n">
        <v>20695.801</v>
      </c>
      <c r="H48" s="13" t="n">
        <v>22067.275</v>
      </c>
      <c r="I48" s="13" t="n">
        <v>24954.573</v>
      </c>
      <c r="J48" s="14" t="inlineStr">
        <is>
          <t>B03/TCTD-HN 2020-2025</t>
        </is>
      </c>
    </row>
    <row r="49" ht="22" customHeight="1">
      <c r="A49" s="9" t="inlineStr">
        <is>
          <t>V</t>
        </is>
      </c>
      <c r="B49" s="9" t="inlineStr">
        <is>
          <t>TÀI SẢN ĐẢM BẢO, DƯ NỢ THEO NGÀNH, CAR &amp; NỢ CƠ CẤU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</row>
    <row r="50" ht="20" customHeight="1">
      <c r="A50" s="11" t="inlineStr">
        <is>
          <t>TM 36/37</t>
        </is>
      </c>
      <c r="B50" s="12" t="inlineStr">
        <is>
          <t>Tổng giá trị Tài sản bảo đảm của khách hàng (Hợp nhất)</t>
        </is>
      </c>
      <c r="C50" s="11" t="inlineStr">
        <is>
          <t>tỷ</t>
        </is>
      </c>
      <c r="D50" s="13" t="n">
        <v>2036527.623</v>
      </c>
      <c r="E50" s="13" t="n">
        <v>2284953.297</v>
      </c>
      <c r="F50" s="13" t="n">
        <v>2530274.588</v>
      </c>
      <c r="G50" s="13" t="n">
        <v>2927711.308</v>
      </c>
      <c r="H50" s="13" t="n">
        <v>3189972.178</v>
      </c>
      <c r="I50" s="13" t="n">
        <v>3739943.09</v>
      </c>
      <c r="J50" s="14" t="inlineStr">
        <is>
          <t>TM 37 BCTC HN 2020 (tr.62), 2021 (tr.69), TM 36 2023 (tr.91), TM 37 2025 (tr.196)</t>
        </is>
      </c>
    </row>
    <row r="51" ht="20" customHeight="1">
      <c r="A51" s="15" t="inlineStr">
        <is>
          <t>TM 36/37</t>
        </is>
      </c>
      <c r="B51" s="16" t="inlineStr">
        <is>
          <t>Tổng tài sản, GTCG nhận thế chấp cầm cố (gồm cả TCTD khác)</t>
        </is>
      </c>
      <c r="C51" s="15" t="inlineStr">
        <is>
          <t>tỷ</t>
        </is>
      </c>
      <c r="D51" s="17" t="n">
        <v>2064379.623</v>
      </c>
      <c r="E51" s="17" t="n">
        <v>2327020.297</v>
      </c>
      <c r="F51" s="17" t="n">
        <v>2545250.355</v>
      </c>
      <c r="G51" s="17" t="n">
        <v>2946331.781</v>
      </c>
      <c r="H51" s="17" t="n">
        <v>3196264.001</v>
      </c>
      <c r="I51" s="17" t="n">
        <v>3794977.584</v>
      </c>
      <c r="J51" s="18" t="inlineStr">
        <is>
          <t>TM 37 BCTC HN 2020 (tr.62), 2021 (tr.69), TM 36 2023 (tr.91), TM 37 2025 (tr.196)</t>
        </is>
      </c>
    </row>
    <row r="52" ht="20" customHeight="1">
      <c r="A52" s="11" t="inlineStr">
        <is>
          <t>TM 36/37</t>
        </is>
      </c>
      <c r="B52" s="12" t="inlineStr">
        <is>
          <t>Trong đó: Bất động sản thế chấp của khách hàng</t>
        </is>
      </c>
      <c r="C52" s="11" t="inlineStr">
        <is>
          <t>tỷ</t>
        </is>
      </c>
      <c r="D52" s="13" t="n">
        <v>1840466.689</v>
      </c>
      <c r="E52" s="13" t="n">
        <v>2018025.685</v>
      </c>
      <c r="F52" s="13" t="n">
        <v>2289606.132</v>
      </c>
      <c r="G52" s="13" t="n">
        <v>2645514.361</v>
      </c>
      <c r="H52" s="13" t="n">
        <v>2923973.132</v>
      </c>
      <c r="I52" s="13" t="n">
        <v>3371568.305</v>
      </c>
      <c r="J52" s="14" t="inlineStr">
        <is>
          <t>TM 37 BCTC HN 2020 (tr.62), 2021 (tr.69), TM 36 2023 (tr.91), TM 37 2025 (tr.196)</t>
        </is>
      </c>
    </row>
    <row r="53" ht="20" customHeight="1">
      <c r="A53" s="15" t="inlineStr">
        <is>
          <t>TM 9(iii)</t>
        </is>
      </c>
      <c r="B53" s="16" t="inlineStr">
        <is>
          <t>Dư nợ ngành Nông nghiệp, lâm nghiệp và thủy sản</t>
        </is>
      </c>
      <c r="C53" s="15" t="inlineStr">
        <is>
          <t>tỷ</t>
        </is>
      </c>
      <c r="D53" s="17" t="n">
        <v>323629.748</v>
      </c>
      <c r="E53" s="17" t="n">
        <v>339749.579</v>
      </c>
      <c r="F53" s="17" t="n">
        <v>370719.689</v>
      </c>
      <c r="G53" s="17" t="n">
        <v>400433.011</v>
      </c>
      <c r="H53" s="17" t="n">
        <v>437858.834</v>
      </c>
      <c r="I53" s="17" t="n">
        <v>506222.905</v>
      </c>
      <c r="J53" s="18" t="inlineStr">
        <is>
          <t>TM 9.3/10(iii) BCTC HN 2020-2025 (chiếm 25,4% - 26,7% dư nợ)</t>
        </is>
      </c>
    </row>
    <row r="54" ht="20" customHeight="1">
      <c r="A54" s="15" t="inlineStr">
        <is>
          <t>TM 9(iii)</t>
        </is>
      </c>
      <c r="B54" s="16" t="inlineStr">
        <is>
          <t>Dư nợ ngành Kinh doanh Bất động sản</t>
        </is>
      </c>
      <c r="C54" s="15" t="inlineStr">
        <is>
          <t>tỷ</t>
        </is>
      </c>
      <c r="D54" s="17" t="n">
        <v>16338.338</v>
      </c>
      <c r="E54" s="17" t="n">
        <v>17908.762</v>
      </c>
      <c r="F54" s="17" t="n">
        <v>17417.818</v>
      </c>
      <c r="G54" s="17" t="n">
        <v>20962.953</v>
      </c>
      <c r="H54" s="17" t="n">
        <v>30944.741</v>
      </c>
      <c r="I54" s="17" t="n">
        <v>46864.047</v>
      </c>
      <c r="J54" s="18" t="inlineStr">
        <is>
          <t>TM 9.3/10(iii) BCTC HN 2020-2025 (chiếm 1,21% - 2,37% dư nợ)</t>
        </is>
      </c>
    </row>
    <row r="55" ht="20" customHeight="1">
      <c r="A55" s="15" t="inlineStr">
        <is>
          <t>TM 9(iii)</t>
        </is>
      </c>
      <c r="B55" s="16" t="inlineStr">
        <is>
          <t>Dư nợ ngành Xây dựng</t>
        </is>
      </c>
      <c r="C55" s="15" t="inlineStr">
        <is>
          <t>tỷ</t>
        </is>
      </c>
      <c r="D55" s="17" t="n">
        <v>74069.66800000001</v>
      </c>
      <c r="E55" s="17" t="n">
        <v>78205.238</v>
      </c>
      <c r="F55" s="17" t="n">
        <v>82854.414</v>
      </c>
      <c r="G55" s="17" t="n">
        <v>85002.85799999999</v>
      </c>
      <c r="H55" s="17" t="n">
        <v>85840.224</v>
      </c>
      <c r="I55" s="17" t="n">
        <v>87733.677</v>
      </c>
      <c r="J55" s="18" t="inlineStr">
        <is>
          <t>TM 9.3/10(iii) BCTC HN 2020-2025 (chiếm 4,44% - 6,10% dư nợ)</t>
        </is>
      </c>
    </row>
    <row r="56" ht="20" customHeight="1">
      <c r="A56" s="15" t="inlineStr">
        <is>
          <t>TM 9(iv)</t>
        </is>
      </c>
      <c r="B56" s="16" t="inlineStr">
        <is>
          <t>Dư nợ Cho vay cá nhân và hộ gia đình</t>
        </is>
      </c>
      <c r="C56" s="15" t="inlineStr">
        <is>
          <t>tỷ</t>
        </is>
      </c>
      <c r="D56" s="17" t="n">
        <v>838618.208</v>
      </c>
      <c r="E56" s="17" t="n">
        <v>910324.564</v>
      </c>
      <c r="F56" s="17" t="n">
        <v>1031470.509</v>
      </c>
      <c r="G56" s="17" t="n">
        <v>1127715.436</v>
      </c>
      <c r="H56" s="17" t="n">
        <v>1271822.234</v>
      </c>
      <c r="I56" s="17" t="n">
        <v>1477695.54</v>
      </c>
      <c r="J56" s="18" t="inlineStr">
        <is>
          <t>TM 9.4/10(iv) BCTC HN 2020-2025 (chiếm 69,1% - 74,8% dư nợ)</t>
        </is>
      </c>
    </row>
    <row r="57" ht="20" customHeight="1">
      <c r="A57" s="11" t="inlineStr">
        <is>
          <t>BCTN</t>
        </is>
      </c>
      <c r="B57" s="12" t="inlineStr">
        <is>
          <t>Tỷ trọng dư nợ Nông nghiệp - Nông thôn ('Tam nông') / Dư nợ nền KT</t>
        </is>
      </c>
      <c r="C57" s="11" t="inlineStr">
        <is>
          <t>%</t>
        </is>
      </c>
      <c r="D57" s="23" t="inlineStr">
        <is>
          <t xml:space="preserve">~70%</t>
        </is>
      </c>
      <c r="E57" s="23" t="inlineStr">
        <is>
          <t xml:space="preserve">65–70%</t>
        </is>
      </c>
      <c r="F57" s="23" t="inlineStr">
        <is>
          <t xml:space="preserve">&gt;65%</t>
        </is>
      </c>
      <c r="G57" s="23" t="n">
        <v>0.627</v>
      </c>
      <c r="H57" s="23" t="n">
        <v>0.617</v>
      </c>
      <c r="I57" s="23" t="n">
        <v>0.641</v>
      </c>
      <c r="J57" s="14" t="inlineStr">
        <is>
          <t>BCTN 2020–2022 công bố khoảng (~70%, 65-70%, &gt;65%); BCTN 2023–2025 công bố chính xác: 62,7%; 61,7%; 64,1%</t>
        </is>
      </c>
    </row>
    <row r="58" ht="20" customHeight="1">
      <c r="A58" s="11" t="inlineStr">
        <is>
          <t>BCTN</t>
        </is>
      </c>
      <c r="B58" s="12" t="inlineStr">
        <is>
          <t>Hệ số CAR công bố tại BCTN (2020–2022: TT 22/2019; 2023–2025: TT 41/2016)</t>
        </is>
      </c>
      <c r="C58" s="11" t="inlineStr">
        <is>
          <t>%</t>
        </is>
      </c>
      <c r="D58" s="20" t="n">
        <v>0.1058</v>
      </c>
      <c r="E58" s="20" t="n">
        <v>0.105</v>
      </c>
      <c r="F58" s="20" t="n">
        <v>0.108</v>
      </c>
      <c r="G58" s="20" t="n">
        <v>0.092</v>
      </c>
      <c r="H58" s="20" t="n">
        <v>0.1136</v>
      </c>
      <c r="I58" s="20" t="n">
        <v>0.1022</v>
      </c>
      <c r="J58" s="14" t="inlineStr">
        <is>
          <t>BCTN 2024 (tr.16 PDF) &amp; BCTN 2025 (tr.21 PDF)</t>
        </is>
      </c>
    </row>
    <row r="59" ht="20" customHeight="1">
      <c r="A59" s="15" t="inlineStr">
        <is>
          <t>BCTN</t>
        </is>
      </c>
      <c r="B59" s="16" t="inlineStr">
        <is>
          <t>Hệ số CAR riêng lẻ từng năm (2020–2022: TT 22/2019; từ 2023: TT 41/2016)</t>
        </is>
      </c>
      <c r="C59" s="15" t="inlineStr">
        <is>
          <t>%</t>
        </is>
      </c>
      <c r="D59" s="22" t="n">
        <v>0.103</v>
      </c>
      <c r="E59" s="22" t="n">
        <v>0.102</v>
      </c>
      <c r="F59" s="22" t="n">
        <v>0.106</v>
      </c>
      <c r="G59" s="22" t="n">
        <v>0.0915</v>
      </c>
      <c r="H59" s="22" t="n">
        <v>0.1135</v>
      </c>
      <c r="I59" s="22" t="n">
        <v>0.1022</v>
      </c>
      <c r="J59" s="18" t="inlineStr">
        <is>
          <t>BCTN 2020 (10,3%), 2021 (10,2%), 2022 (10,6%), 2023 (&gt;9,0% / 9,15%), 2024 (11,35%), 2025 (10,22%)</t>
        </is>
      </c>
    </row>
    <row r="60" ht="20" customHeight="1">
      <c r="A60" s="15" t="inlineStr">
        <is>
          <t>BCTN</t>
        </is>
      </c>
      <c r="B60" s="16" t="inlineStr">
        <is>
          <t>Dư nợ cơ cấu giữ nguyên nhóm nợ theo TT 02/2023 (xác nhận tại BCTN 2023)</t>
        </is>
      </c>
      <c r="C60" s="15" t="inlineStr">
        <is>
          <t>tỷ</t>
        </is>
      </c>
      <c r="D60" s="17" t="n"/>
      <c r="E60" s="17" t="n"/>
      <c r="F60" s="17" t="n">
        <v>0</v>
      </c>
      <c r="G60" s="17" t="n">
        <v>37876</v>
      </c>
      <c r="H60" s="17" t="n">
        <v>0</v>
      </c>
      <c r="I60" s="17" t="n"/>
      <c r="J60" s="18" t="inlineStr">
        <is>
          <t>BCTN 2023 (tr.39): 37.876 tỷ / 4.249 KH; cuối 2024 hết hạn TT02 (trích đủ 100% DP); 2025 cơ cấu TT53 Yagi không công bố số dư</t>
        </is>
      </c>
    </row>
    <row r="61" ht="20" customHeight="1">
      <c r="A61" s="15" t="inlineStr">
        <is>
          <t>BCTN</t>
        </is>
      </c>
      <c r="B61" s="16" t="inlineStr">
        <is>
          <t>Dư nợ cơ cấu giữ nguyên nhóm nợ theo TT 01/2020, 03/2021, 14/2021</t>
        </is>
      </c>
      <c r="C61" s="15" t="inlineStr">
        <is>
          <t>tỷ</t>
        </is>
      </c>
      <c r="D61" s="17" t="n"/>
      <c r="E61" s="17" t="n"/>
      <c r="F61" s="17" t="n">
        <v>0</v>
      </c>
      <c r="G61" s="17" t="n">
        <v>0</v>
      </c>
      <c r="H61" s="17" t="n">
        <v>0</v>
      </c>
      <c r="I61" s="17" t="n">
        <v>0</v>
      </c>
      <c r="J61" s="18" t="inlineStr">
        <is>
          <t>BCTN 2021 (tr.41): cơ cấu cho gần 17.000 KH (không công bố số dư tuyệt đối); chấm dứt sau 30/6/2022 (BCTN 2022 tr.8)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THUYẾT MINH DƯ NỢ CHO VAY THEO NGÀNH KINH TẾ &amp; ĐỐI TƯỢNG KHÁCH HÀNG – AGRIBANK (2020–2025)</t>
        </is>
      </c>
    </row>
    <row r="2">
      <c r="A2" s="2" t="inlineStr">
        <is>
          <t>Nguồn: Thuyết minh 9(iii) &amp; 9(iv) / 10(iii) &amp; 10(iv) BCTC Hợp nhất Kiểm toán Agribank 2020–2025 (Đơn vị: Tỷ đồng &amp; Tỷ trọng %)</t>
        </is>
      </c>
    </row>
    <row r="4" ht="25" customHeight="1">
      <c r="A4" s="3" t="inlineStr">
        <is>
          <t>STT</t>
        </is>
      </c>
      <c r="B4" s="4" t="inlineStr">
        <is>
          <t>Ngành kinh tế / Đối tượng vay (TM 9/10 BCTC Hợp nhất)</t>
        </is>
      </c>
      <c r="C4" s="3" t="inlineStr">
        <is>
          <t>2020 (Tỷ)</t>
        </is>
      </c>
      <c r="D4" s="3" t="inlineStr">
        <is>
          <t>2021 (Tỷ)</t>
        </is>
      </c>
      <c r="E4" s="3" t="inlineStr">
        <is>
          <t>2022 (Tỷ)</t>
        </is>
      </c>
      <c r="F4" s="3" t="inlineStr">
        <is>
          <t>2023 (Tỷ)</t>
        </is>
      </c>
      <c r="G4" s="3" t="inlineStr">
        <is>
          <t>2024 (Tỷ)</t>
        </is>
      </c>
      <c r="H4" s="3" t="inlineStr">
        <is>
          <t>2025 (Tỷ)</t>
        </is>
      </c>
      <c r="I4" s="3" t="inlineStr">
        <is>
          <t>Tỷ trọng 2020</t>
        </is>
      </c>
      <c r="J4" s="3" t="inlineStr">
        <is>
          <t>Tỷ trọng 2025</t>
        </is>
      </c>
    </row>
    <row r="5">
      <c r="A5" s="25" t="n">
        <v>1</v>
      </c>
      <c r="B5" s="26" t="inlineStr">
        <is>
          <t>Nông nghiệp, lâm nghiệp và thủy sản</t>
        </is>
      </c>
      <c r="C5" s="27" t="n">
        <v>323629.748</v>
      </c>
      <c r="D5" s="27" t="n">
        <v>339749.579</v>
      </c>
      <c r="E5" s="27" t="n">
        <v>370719.689</v>
      </c>
      <c r="F5" s="27" t="n">
        <v>400433.011</v>
      </c>
      <c r="G5" s="27" t="n">
        <v>437858.834</v>
      </c>
      <c r="H5" s="27" t="n">
        <v>506222.905</v>
      </c>
      <c r="I5" s="28">
        <f>C5/$C$23</f>
        <v/>
      </c>
      <c r="J5" s="28">
        <f>H5/$H$23</f>
        <v/>
      </c>
    </row>
    <row r="6">
      <c r="A6" s="29" t="n">
        <v>2</v>
      </c>
      <c r="B6" s="30" t="inlineStr">
        <is>
          <t>Khai khoáng</t>
        </is>
      </c>
      <c r="C6" s="31" t="n">
        <v>3272.399</v>
      </c>
      <c r="D6" s="31" t="n">
        <v>5072.445</v>
      </c>
      <c r="E6" s="31" t="n">
        <v>2513.427</v>
      </c>
      <c r="F6" s="31" t="n">
        <v>3534.546</v>
      </c>
      <c r="G6" s="31" t="n">
        <v>5702.115</v>
      </c>
      <c r="H6" s="31" t="n">
        <v>6488.215</v>
      </c>
      <c r="I6" s="32">
        <f>C6/$C$23</f>
        <v/>
      </c>
      <c r="J6" s="32">
        <f>H6/$H$23</f>
        <v/>
      </c>
    </row>
    <row r="7">
      <c r="A7" s="25" t="n">
        <v>3</v>
      </c>
      <c r="B7" s="26" t="inlineStr">
        <is>
          <t>Công nghiệp chế biến, chế tạo</t>
        </is>
      </c>
      <c r="C7" s="27" t="n">
        <v>88195.094</v>
      </c>
      <c r="D7" s="27" t="n">
        <v>86865.39</v>
      </c>
      <c r="E7" s="27" t="n">
        <v>103098.967</v>
      </c>
      <c r="F7" s="27" t="n">
        <v>104470.078</v>
      </c>
      <c r="G7" s="27" t="n">
        <v>126060.78</v>
      </c>
      <c r="H7" s="27" t="n">
        <v>148597.738</v>
      </c>
      <c r="I7" s="28">
        <f>C7/$C$23</f>
        <v/>
      </c>
      <c r="J7" s="28">
        <f>H7/$H$23</f>
        <v/>
      </c>
    </row>
    <row r="8">
      <c r="A8" s="29" t="n">
        <v>4</v>
      </c>
      <c r="B8" s="30" t="inlineStr">
        <is>
          <t>Sản xuất và phân phối điện, khí đốt, nước nóng, hơi nước</t>
        </is>
      </c>
      <c r="C8" s="31" t="n">
        <v>35083.772</v>
      </c>
      <c r="D8" s="31" t="n">
        <v>42536.676</v>
      </c>
      <c r="E8" s="31" t="n">
        <v>46117.754</v>
      </c>
      <c r="F8" s="31" t="n">
        <v>52562.649</v>
      </c>
      <c r="G8" s="31" t="n">
        <v>58149.686</v>
      </c>
      <c r="H8" s="31" t="n">
        <v>62278.764</v>
      </c>
      <c r="I8" s="32">
        <f>C8/$C$23</f>
        <v/>
      </c>
      <c r="J8" s="32">
        <f>H8/$H$23</f>
        <v/>
      </c>
    </row>
    <row r="9">
      <c r="A9" s="29" t="n">
        <v>5</v>
      </c>
      <c r="B9" s="30" t="inlineStr">
        <is>
          <t>Cung cấp nước; quản lý và xử lý rác thải, nước thải</t>
        </is>
      </c>
      <c r="C9" s="31" t="n">
        <v>4423.02</v>
      </c>
      <c r="D9" s="31" t="n">
        <v>4757.6</v>
      </c>
      <c r="E9" s="31" t="n">
        <v>5715.107</v>
      </c>
      <c r="F9" s="31" t="n">
        <v>6066.173</v>
      </c>
      <c r="G9" s="31" t="n">
        <v>7596.16</v>
      </c>
      <c r="H9" s="31" t="n">
        <v>8497.255999999999</v>
      </c>
      <c r="I9" s="32">
        <f>C9/$C$23</f>
        <v/>
      </c>
      <c r="J9" s="32">
        <f>H9/$H$23</f>
        <v/>
      </c>
    </row>
    <row r="10">
      <c r="A10" s="25" t="n">
        <v>6</v>
      </c>
      <c r="B10" s="26" t="inlineStr">
        <is>
          <t>Xây dựng</t>
        </is>
      </c>
      <c r="C10" s="27" t="n">
        <v>74069.66800000001</v>
      </c>
      <c r="D10" s="27" t="n">
        <v>78205.238</v>
      </c>
      <c r="E10" s="27" t="n">
        <v>82854.414</v>
      </c>
      <c r="F10" s="27" t="n">
        <v>85002.85799999999</v>
      </c>
      <c r="G10" s="27" t="n">
        <v>85840.224</v>
      </c>
      <c r="H10" s="27" t="n">
        <v>87733.677</v>
      </c>
      <c r="I10" s="28">
        <f>C10/$C$23</f>
        <v/>
      </c>
      <c r="J10" s="28">
        <f>H10/$H$23</f>
        <v/>
      </c>
    </row>
    <row r="11">
      <c r="A11" s="25" t="n">
        <v>7</v>
      </c>
      <c r="B11" s="26" t="inlineStr">
        <is>
          <t>Hoạt động kinh doanh bất động sản</t>
        </is>
      </c>
      <c r="C11" s="27" t="n">
        <v>16338.338</v>
      </c>
      <c r="D11" s="27" t="n">
        <v>17908.762</v>
      </c>
      <c r="E11" s="27" t="n">
        <v>17417.818</v>
      </c>
      <c r="F11" s="27" t="n">
        <v>20962.953</v>
      </c>
      <c r="G11" s="27" t="n">
        <v>30944.741</v>
      </c>
      <c r="H11" s="27" t="n">
        <v>46864.047</v>
      </c>
      <c r="I11" s="28">
        <f>C11/$C$23</f>
        <v/>
      </c>
      <c r="J11" s="28">
        <f>H11/$H$23</f>
        <v/>
      </c>
    </row>
    <row r="12">
      <c r="A12" s="25" t="n">
        <v>8</v>
      </c>
      <c r="B12" s="26" t="inlineStr">
        <is>
          <t>Bán buôn và bán lẻ; sửa chữa ô tô, mô tô, xe máy</t>
        </is>
      </c>
      <c r="C12" s="27" t="n">
        <v>357260.33</v>
      </c>
      <c r="D12" s="27" t="n">
        <v>428277.919</v>
      </c>
      <c r="E12" s="27" t="n">
        <v>448165.837</v>
      </c>
      <c r="F12" s="27" t="n">
        <v>495683.268</v>
      </c>
      <c r="G12" s="27" t="n">
        <v>546461.327</v>
      </c>
      <c r="H12" s="27" t="n">
        <v>568195.895</v>
      </c>
      <c r="I12" s="28">
        <f>C12/$C$23</f>
        <v/>
      </c>
      <c r="J12" s="28">
        <f>H12/$H$23</f>
        <v/>
      </c>
    </row>
    <row r="13">
      <c r="A13" s="29" t="n">
        <v>9</v>
      </c>
      <c r="B13" s="30" t="inlineStr">
        <is>
          <t>Vận tải kho bãi</t>
        </is>
      </c>
      <c r="C13" s="31" t="n">
        <v>22903.028</v>
      </c>
      <c r="D13" s="31" t="n">
        <v>23722.656</v>
      </c>
      <c r="E13" s="31" t="n">
        <v>21630.315</v>
      </c>
      <c r="F13" s="31" t="n">
        <v>21261.583</v>
      </c>
      <c r="G13" s="31" t="n">
        <v>24650.971</v>
      </c>
      <c r="H13" s="31" t="n">
        <v>29133.824</v>
      </c>
      <c r="I13" s="32">
        <f>C13/$C$23</f>
        <v/>
      </c>
      <c r="J13" s="32">
        <f>H13/$H$23</f>
        <v/>
      </c>
    </row>
    <row r="14">
      <c r="A14" s="29" t="n">
        <v>10</v>
      </c>
      <c r="B14" s="30" t="inlineStr">
        <is>
          <t>Dịch vụ lưu trú và ăn uống</t>
        </is>
      </c>
      <c r="C14" s="31" t="n">
        <v>17706.091</v>
      </c>
      <c r="D14" s="31" t="n">
        <v>19120.149</v>
      </c>
      <c r="E14" s="31" t="n">
        <v>20888.104</v>
      </c>
      <c r="F14" s="31" t="n">
        <v>23033.902</v>
      </c>
      <c r="G14" s="31" t="n">
        <v>28518.023</v>
      </c>
      <c r="H14" s="31" t="n">
        <v>30505.922</v>
      </c>
      <c r="I14" s="32">
        <f>C14/$C$23</f>
        <v/>
      </c>
      <c r="J14" s="32">
        <f>H14/$H$23</f>
        <v/>
      </c>
    </row>
    <row r="15">
      <c r="A15" s="29" t="n">
        <v>11</v>
      </c>
      <c r="B15" s="30" t="inlineStr">
        <is>
          <t>Nghệ thuật, vui chơi và giải trí</t>
        </is>
      </c>
      <c r="C15" s="31" t="n">
        <v>1909.274</v>
      </c>
      <c r="D15" s="31" t="n">
        <v>1763.858</v>
      </c>
      <c r="E15" s="31" t="n">
        <v>1696.313</v>
      </c>
      <c r="F15" s="31" t="n">
        <v>1622.611</v>
      </c>
      <c r="G15" s="31" t="n">
        <v>1805.368</v>
      </c>
      <c r="H15" s="31" t="n">
        <v>2042.518</v>
      </c>
      <c r="I15" s="32">
        <f>C15/$C$23</f>
        <v/>
      </c>
      <c r="J15" s="32">
        <f>H15/$H$23</f>
        <v/>
      </c>
    </row>
    <row r="16">
      <c r="A16" s="29" t="n">
        <v>12</v>
      </c>
      <c r="B16" s="30" t="inlineStr">
        <is>
          <t>Thông tin và truyền thông</t>
        </is>
      </c>
      <c r="C16" s="31" t="n">
        <v>986.602</v>
      </c>
      <c r="D16" s="31" t="n">
        <v>1017.941</v>
      </c>
      <c r="E16" s="31" t="n">
        <v>1165.525</v>
      </c>
      <c r="F16" s="31" t="n">
        <v>1155.142</v>
      </c>
      <c r="G16" s="31" t="n">
        <v>957.22</v>
      </c>
      <c r="H16" s="31" t="n">
        <v>899.5069999999999</v>
      </c>
      <c r="I16" s="32">
        <f>C16/$C$23</f>
        <v/>
      </c>
      <c r="J16" s="32">
        <f>H16/$H$23</f>
        <v/>
      </c>
    </row>
    <row r="17">
      <c r="A17" s="29" t="n">
        <v>13</v>
      </c>
      <c r="B17" s="30" t="inlineStr">
        <is>
          <t>Hoạt động y tế, giáo dục, công ích</t>
        </is>
      </c>
      <c r="C17" s="31" t="n">
        <v>3854.268</v>
      </c>
      <c r="D17" s="31" t="n">
        <v>4121.493</v>
      </c>
      <c r="E17" s="31" t="n">
        <v>4200.829</v>
      </c>
      <c r="F17" s="31" t="n">
        <v>3734.71</v>
      </c>
      <c r="G17" s="31" t="n">
        <v>4258.592</v>
      </c>
      <c r="H17" s="31" t="n">
        <v>4471.622</v>
      </c>
      <c r="I17" s="32">
        <f>C17/$C$23</f>
        <v/>
      </c>
      <c r="J17" s="32">
        <f>H17/$H$23</f>
        <v/>
      </c>
    </row>
    <row r="18">
      <c r="A18" s="29" t="n">
        <v>14</v>
      </c>
      <c r="B18" s="30" t="inlineStr">
        <is>
          <t>Hoạt động chuyên môn, khoa học và công nghệ</t>
        </is>
      </c>
      <c r="C18" s="31" t="n">
        <v>619.027</v>
      </c>
      <c r="D18" s="31" t="n">
        <v>602.78</v>
      </c>
      <c r="E18" s="31" t="n">
        <v>725.539</v>
      </c>
      <c r="F18" s="31" t="n">
        <v>701.903</v>
      </c>
      <c r="G18" s="31" t="n">
        <v>853.225</v>
      </c>
      <c r="H18" s="31" t="n">
        <v>893.491</v>
      </c>
      <c r="I18" s="32">
        <f>C18/$C$23</f>
        <v/>
      </c>
      <c r="J18" s="32">
        <f>H18/$H$23</f>
        <v/>
      </c>
    </row>
    <row r="19">
      <c r="A19" s="29" t="n">
        <v>15</v>
      </c>
      <c r="B19" s="30" t="inlineStr">
        <is>
          <t>Hoạt động tài chính, ngân hàng và bảo hiểm</t>
        </is>
      </c>
      <c r="C19" s="31" t="n">
        <v>1976.732</v>
      </c>
      <c r="D19" s="31" t="n">
        <v>2423.383</v>
      </c>
      <c r="E19" s="31" t="n">
        <v>2768.546</v>
      </c>
      <c r="F19" s="31" t="n">
        <v>3619.991</v>
      </c>
      <c r="G19" s="31" t="n">
        <v>7074.806</v>
      </c>
      <c r="H19" s="31" t="n">
        <v>13929.151</v>
      </c>
      <c r="I19" s="32">
        <f>C19/$C$23</f>
        <v/>
      </c>
      <c r="J19" s="32">
        <f>H19/$H$23</f>
        <v/>
      </c>
    </row>
    <row r="20">
      <c r="A20" s="29" t="n">
        <v>16</v>
      </c>
      <c r="B20" s="30" t="inlineStr">
        <is>
          <t>Hoạt động hành chính và dịch vụ hỗ trợ</t>
        </is>
      </c>
      <c r="C20" s="31" t="n">
        <v>347.707</v>
      </c>
      <c r="D20" s="31" t="n">
        <v>352.144</v>
      </c>
      <c r="E20" s="31" t="n">
        <v>376.605</v>
      </c>
      <c r="F20" s="31" t="n">
        <v>688.502</v>
      </c>
      <c r="G20" s="31" t="n">
        <v>1009.28</v>
      </c>
      <c r="H20" s="31" t="n">
        <v>1801.377</v>
      </c>
      <c r="I20" s="32">
        <f>C20/$C$23</f>
        <v/>
      </c>
      <c r="J20" s="32">
        <f>H20/$H$23</f>
        <v/>
      </c>
    </row>
    <row r="21">
      <c r="A21" s="29" t="n">
        <v>17</v>
      </c>
      <c r="B21" s="30" t="inlineStr">
        <is>
          <t>Hoạt động dịch vụ khác</t>
        </is>
      </c>
      <c r="C21" s="31" t="n">
        <v>12903.055</v>
      </c>
      <c r="D21" s="31" t="n">
        <v>12702.596</v>
      </c>
      <c r="E21" s="31" t="n">
        <v>23537.746</v>
      </c>
      <c r="F21" s="31" t="n">
        <v>26987.883</v>
      </c>
      <c r="G21" s="31" t="n">
        <v>27581.106</v>
      </c>
      <c r="H21" s="31" t="n">
        <v>36423.506</v>
      </c>
      <c r="I21" s="32">
        <f>C21/$C$23</f>
        <v/>
      </c>
      <c r="J21" s="32">
        <f>H21/$H$23</f>
        <v/>
      </c>
    </row>
    <row r="22">
      <c r="A22" s="25" t="n">
        <v>18</v>
      </c>
      <c r="B22" s="26" t="inlineStr">
        <is>
          <t>HĐ làm thuê trong hộ gia đình, SX SP vật chất &amp; DV tự tiêu dùng</t>
        </is>
      </c>
      <c r="C22" s="27" t="n">
        <v>248480.092</v>
      </c>
      <c r="D22" s="27" t="n">
        <v>247248.355</v>
      </c>
      <c r="E22" s="27" t="n">
        <v>291209.226</v>
      </c>
      <c r="F22" s="27" t="n">
        <v>300636.064</v>
      </c>
      <c r="G22" s="27" t="n">
        <v>328059.736</v>
      </c>
      <c r="H22" s="27" t="n">
        <v>421389.36</v>
      </c>
      <c r="I22" s="28">
        <f>C22/$C$23</f>
        <v/>
      </c>
      <c r="J22" s="28">
        <f>H22/$H$23</f>
        <v/>
      </c>
    </row>
    <row r="23">
      <c r="A23" s="33" t="inlineStr"/>
      <c r="B23" s="33" t="inlineStr">
        <is>
          <t>TỔNG DƯ NỢ CHO VAY KHÁCH HÀNG HỢP NHẤT</t>
        </is>
      </c>
      <c r="C23" s="34">
        <f>SUM(C5:C22)</f>
        <v/>
      </c>
      <c r="D23" s="34">
        <f>SUM(D5:D22)</f>
        <v/>
      </c>
      <c r="E23" s="34">
        <f>SUM(E5:E22)</f>
        <v/>
      </c>
      <c r="F23" s="34">
        <f>SUM(F5:F22)</f>
        <v/>
      </c>
      <c r="G23" s="34">
        <f>SUM(G5:G22)</f>
        <v/>
      </c>
      <c r="H23" s="34">
        <f>SUM(H5:H22)</f>
        <v/>
      </c>
      <c r="I23" s="35">
        <f>SUM(I5:I22)</f>
        <v/>
      </c>
      <c r="J23" s="35">
        <f>SUM(J5:J22)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58" customWidth="1" min="10" max="10"/>
  </cols>
  <sheetData>
    <row r="1">
      <c r="A1" s="1" t="inlineStr">
        <is>
          <t>DỮ LIỆU GỐC TRÍCH XUẤT BCTC KIỂM TOÁN &amp; BCTN MBBANK (2020–2025)</t>
        </is>
      </c>
    </row>
    <row r="2">
      <c r="A2" s="2" t="inlineStr">
        <is>
          <t>Đơn vị: Tỷ đồng (Quy đổi chính xác từ đơn vị Triệu VND trên BCTC Kiểm toán Hợp nhất &amp; Riêng lẻ của MBBank). Chữ XANH = Số gốc BCTC; Chữ ĐEN = Công thức.</t>
        </is>
      </c>
    </row>
    <row r="4" ht="26" customHeight="1">
      <c r="A4" s="3" t="inlineStr">
        <is>
          <t>Mã TM</t>
        </is>
      </c>
      <c r="B4" s="4" t="inlineStr">
        <is>
          <t>Chỉ tiêu Báo cáo Tài chính &amp; Thuyết minh Kiểm toán</t>
        </is>
      </c>
      <c r="C4" s="3" t="inlineStr">
        <is>
          <t>Đơn vị</t>
        </is>
      </c>
      <c r="D4" s="3" t="inlineStr">
        <is>
          <t>2020</t>
        </is>
      </c>
      <c r="E4" s="3" t="inlineStr">
        <is>
          <t>2021</t>
        </is>
      </c>
      <c r="F4" s="3" t="inlineStr">
        <is>
          <t>2022</t>
        </is>
      </c>
      <c r="G4" s="3" t="inlineStr">
        <is>
          <t>2023</t>
        </is>
      </c>
      <c r="H4" s="3" t="inlineStr">
        <is>
          <t>2024</t>
        </is>
      </c>
      <c r="I4" s="3" t="inlineStr">
        <is>
          <t>2025</t>
        </is>
      </c>
      <c r="J4" s="4" t="inlineStr">
        <is>
          <t>Trích dẫn File PDF gốc, Thuyết minh &amp; Trang</t>
        </is>
      </c>
    </row>
    <row r="5" ht="22" customHeight="1">
      <c r="A5" s="9" t="inlineStr">
        <is>
          <t>I</t>
        </is>
      </c>
      <c r="B5" s="9" t="inlineStr">
        <is>
          <t>BẢNG CÂN ĐỐI KẾ TOÁN (HỢP NHẤT &amp; RIÊNG LẺ)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</row>
    <row r="6" ht="20" customHeight="1">
      <c r="A6" s="11" t="inlineStr">
        <is>
          <t>B02-HN</t>
        </is>
      </c>
      <c r="B6" s="12" t="inlineStr">
        <is>
          <t>Tổng tài sản Có (Hợp nhất)</t>
        </is>
      </c>
      <c r="C6" s="11" t="inlineStr">
        <is>
          <t>tỷ</t>
        </is>
      </c>
      <c r="D6" s="13" t="n">
        <v>494982.162</v>
      </c>
      <c r="E6" s="13" t="n">
        <v>607140.419</v>
      </c>
      <c r="F6" s="13" t="n">
        <v>728532.373</v>
      </c>
      <c r="G6" s="13" t="n">
        <v>944953.64</v>
      </c>
      <c r="H6" s="13" t="n">
        <v>1128801.062</v>
      </c>
      <c r="I6" s="13" t="n">
        <v>1615763.927</v>
      </c>
      <c r="J6" s="14" t="inlineStr">
        <is>
          <t>B02/TCTD-HN: BCTN 2020 (tr.129), 2021 (tr.177), 2022 (tr.197), BCTC HN 2024 (tr.6), BCTN 2025 (tr.279)</t>
        </is>
      </c>
    </row>
    <row r="7" ht="20" customHeight="1">
      <c r="A7" s="15" t="inlineStr">
        <is>
          <t>B02-RL</t>
        </is>
      </c>
      <c r="B7" s="16" t="inlineStr">
        <is>
          <t>Tổng tài sản Có (Riêng lẻ - Ngân hàng mẹ)</t>
        </is>
      </c>
      <c r="C7" s="15" t="inlineStr">
        <is>
          <t>tỷ</t>
        </is>
      </c>
      <c r="D7" s="17" t="n">
        <v>477839.594</v>
      </c>
      <c r="E7" s="17" t="n">
        <v>577009.653</v>
      </c>
      <c r="F7" s="17" t="n">
        <v>690664.584</v>
      </c>
      <c r="G7" s="17" t="n">
        <v>902044.947</v>
      </c>
      <c r="H7" s="17" t="n">
        <v>1067158.251</v>
      </c>
      <c r="I7" s="17" t="n">
        <v>1528579.205</v>
      </c>
      <c r="J7" s="18" t="inlineStr">
        <is>
          <t>B02/TCTD Riêng lẻ: BCTC Riêng 2021 (tr.6), 2022 (tr.6), 2024 (tr.6), 2025 (tr.6)</t>
        </is>
      </c>
    </row>
    <row r="8" ht="20" customHeight="1">
      <c r="A8" s="11" t="inlineStr">
        <is>
          <t>TM 10/9</t>
        </is>
      </c>
      <c r="B8" s="12" t="inlineStr">
        <is>
          <t>Cho vay khách hàng gộp (Hợp nhất)</t>
        </is>
      </c>
      <c r="C8" s="11" t="inlineStr">
        <is>
          <t>tỷ</t>
        </is>
      </c>
      <c r="D8" s="13">
        <f>D22</f>
        <v/>
      </c>
      <c r="E8" s="13">
        <f>E22</f>
        <v/>
      </c>
      <c r="F8" s="13">
        <f>F22</f>
        <v/>
      </c>
      <c r="G8" s="13">
        <f>G22</f>
        <v/>
      </c>
      <c r="H8" s="13">
        <f>H22</f>
        <v/>
      </c>
      <c r="I8" s="13">
        <f>I22</f>
        <v/>
      </c>
      <c r="J8" s="14" t="inlineStr">
        <is>
          <t>TM 10 BCTC HN 2020-2024, TM 9 BCTC HN 2025</t>
        </is>
      </c>
    </row>
    <row r="9" ht="20" customHeight="1">
      <c r="A9" s="15" t="inlineStr">
        <is>
          <t>TM 10/9</t>
        </is>
      </c>
      <c r="B9" s="16" t="inlineStr">
        <is>
          <t>Cho vay khách hàng gộp (Riêng lẻ - Ngân hàng mẹ)</t>
        </is>
      </c>
      <c r="C9" s="15" t="inlineStr">
        <is>
          <t>tỷ</t>
        </is>
      </c>
      <c r="D9" s="19">
        <f>D28</f>
        <v/>
      </c>
      <c r="E9" s="19">
        <f>E28</f>
        <v/>
      </c>
      <c r="F9" s="19">
        <f>F28</f>
        <v/>
      </c>
      <c r="G9" s="19">
        <f>G28</f>
        <v/>
      </c>
      <c r="H9" s="19">
        <f>H28</f>
        <v/>
      </c>
      <c r="I9" s="19">
        <f>I28</f>
        <v/>
      </c>
      <c r="J9" s="18" t="inlineStr">
        <is>
          <t>TM 10 BCTC Riêng 2021-2024, TM 9 BCTC Riêng 2025</t>
        </is>
      </c>
    </row>
    <row r="10" ht="20" customHeight="1">
      <c r="A10" s="11" t="inlineStr">
        <is>
          <t>TM 11/10</t>
        </is>
      </c>
      <c r="B10" s="12" t="inlineStr">
        <is>
          <t>Dự phòng rủi ro cho vay khách hàng (Hợp nhất)</t>
        </is>
      </c>
      <c r="C10" s="11" t="inlineStr">
        <is>
          <t>tỷ</t>
        </is>
      </c>
      <c r="D10" s="13">
        <f>D33</f>
        <v/>
      </c>
      <c r="E10" s="13">
        <f>E33</f>
        <v/>
      </c>
      <c r="F10" s="13">
        <f>F33</f>
        <v/>
      </c>
      <c r="G10" s="13">
        <f>G33</f>
        <v/>
      </c>
      <c r="H10" s="13">
        <f>H33</f>
        <v/>
      </c>
      <c r="I10" s="13">
        <f>I33</f>
        <v/>
      </c>
      <c r="J10" s="14" t="inlineStr">
        <is>
          <t>TM 11 BCTC HN 2020-2024, TM 10 BCTC HN 2025</t>
        </is>
      </c>
    </row>
    <row r="11" ht="20" customHeight="1">
      <c r="A11" s="15" t="inlineStr">
        <is>
          <t>TM 11/10</t>
        </is>
      </c>
      <c r="B11" s="16" t="inlineStr">
        <is>
          <t>Dự phòng rủi ro cho vay khách hàng (Riêng lẻ)</t>
        </is>
      </c>
      <c r="C11" s="15" t="inlineStr">
        <is>
          <t>tỷ</t>
        </is>
      </c>
      <c r="D11" s="17" t="n">
        <v>4128.256</v>
      </c>
      <c r="E11" s="17" t="n">
        <v>8118.66</v>
      </c>
      <c r="F11" s="17" t="n">
        <v>10706.62</v>
      </c>
      <c r="G11" s="17" t="n">
        <v>9383.404</v>
      </c>
      <c r="H11" s="17" t="n">
        <v>9920.824000000001</v>
      </c>
      <c r="I11" s="17" t="n">
        <v>11632.139</v>
      </c>
      <c r="J11" s="18" t="inlineStr">
        <is>
          <t>TM 11 BCTC Riêng 2021 (tr.33), 2022 (tr.35), 2024 (tr.39), TM 10 2025 (tr.34)</t>
        </is>
      </c>
    </row>
    <row r="12" ht="20" customHeight="1">
      <c r="A12" s="15" t="inlineStr">
        <is>
          <t>TM 12/13</t>
        </is>
      </c>
      <c r="B12" s="16" t="inlineStr">
        <is>
          <t>Chứng khoán đầu tư thuần (Hợp nhất)</t>
        </is>
      </c>
      <c r="C12" s="15" t="inlineStr">
        <is>
          <t>tỷ</t>
        </is>
      </c>
      <c r="D12" s="17" t="n">
        <v>99713.64599999999</v>
      </c>
      <c r="E12" s="17" t="n">
        <v>128806.244</v>
      </c>
      <c r="F12" s="17" t="n">
        <v>159580.028</v>
      </c>
      <c r="G12" s="17" t="n">
        <v>147923.205</v>
      </c>
      <c r="H12" s="17" t="n">
        <v>209637.377</v>
      </c>
      <c r="I12" s="17" t="n">
        <v>225574.85</v>
      </c>
      <c r="J12" s="18" t="inlineStr">
        <is>
          <t>B02/TCTD-HN Mục VIII (AFS + HTM - Dự phòng CKĐT)</t>
        </is>
      </c>
    </row>
    <row r="13" ht="20" customHeight="1">
      <c r="A13" s="15" t="inlineStr">
        <is>
          <t>TM 12/11</t>
        </is>
      </c>
      <c r="B13" s="16" t="inlineStr">
        <is>
          <t>Hoạt động mua nợ thuần (Hợp nhất)</t>
        </is>
      </c>
      <c r="C13" s="15" t="inlineStr">
        <is>
          <t>tỷ</t>
        </is>
      </c>
      <c r="D13" s="17" t="n">
        <v>0</v>
      </c>
      <c r="E13" s="17" t="n">
        <v>1.766</v>
      </c>
      <c r="F13" s="17" t="n">
        <v>1006.733</v>
      </c>
      <c r="G13" s="17" t="n">
        <v>1789.868</v>
      </c>
      <c r="H13" s="17" t="n">
        <v>951.509</v>
      </c>
      <c r="I13" s="17" t="n">
        <v>2443.895</v>
      </c>
      <c r="J13" s="18" t="inlineStr">
        <is>
          <t>B02/TCTD-HN Mục VII</t>
        </is>
      </c>
    </row>
    <row r="14" ht="20" customHeight="1">
      <c r="A14" s="15" t="inlineStr">
        <is>
          <t>TM 20</t>
        </is>
      </c>
      <c r="B14" s="16" t="inlineStr">
        <is>
          <t>Tiền gửi của khách hàng (Hợp nhất)</t>
        </is>
      </c>
      <c r="C14" s="15" t="inlineStr">
        <is>
          <t>tỷ</t>
        </is>
      </c>
      <c r="D14" s="17" t="n">
        <v>310960.354</v>
      </c>
      <c r="E14" s="17" t="n">
        <v>384692.155</v>
      </c>
      <c r="F14" s="17" t="n">
        <v>443605.638</v>
      </c>
      <c r="G14" s="17" t="n">
        <v>567532.577</v>
      </c>
      <c r="H14" s="17" t="n">
        <v>714154.4790000001</v>
      </c>
      <c r="I14" s="17" t="n">
        <v>921368.132</v>
      </c>
      <c r="J14" s="18" t="inlineStr">
        <is>
          <t>B02/TCTD-HN Mục III (Nợ phải trả)</t>
        </is>
      </c>
    </row>
    <row r="15" ht="20" customHeight="1">
      <c r="A15" s="11" t="inlineStr">
        <is>
          <t>TM 25</t>
        </is>
      </c>
      <c r="B15" s="12" t="inlineStr">
        <is>
          <t>Tổng Vốn chủ sở hữu (Hợp nhất)</t>
        </is>
      </c>
      <c r="C15" s="11" t="inlineStr">
        <is>
          <t>tỷ</t>
        </is>
      </c>
      <c r="D15" s="13" t="n">
        <v>50099.495</v>
      </c>
      <c r="E15" s="13" t="n">
        <v>62486.023</v>
      </c>
      <c r="F15" s="13" t="n">
        <v>79613.219</v>
      </c>
      <c r="G15" s="13" t="n">
        <v>96711.159</v>
      </c>
      <c r="H15" s="13" t="n">
        <v>117059.581</v>
      </c>
      <c r="I15" s="13" t="n">
        <v>142022.525</v>
      </c>
      <c r="J15" s="14" t="inlineStr">
        <is>
          <t>B02/TCTD-HN Mục VIII (Vốn và các quỹ)</t>
        </is>
      </c>
    </row>
    <row r="16" ht="22" customHeight="1">
      <c r="A16" s="9" t="inlineStr">
        <is>
          <t>II</t>
        </is>
      </c>
      <c r="B16" s="9" t="inlineStr">
        <is>
          <t>PHÂN TÍCH CHẤT LƯỢNG NỢ CHO VAY HỢP NHẤT &amp; RIÊNG LẺ (TM 10.1 / 9.1)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20" customHeight="1">
      <c r="A17" s="15" t="inlineStr">
        <is>
          <t>TM 10.1</t>
        </is>
      </c>
      <c r="B17" s="16" t="inlineStr">
        <is>
          <t>Nhóm 1 - Nợ đủ tiêu chuẩn (Hợp nhất, gồm cho vay ký quỹ MBS)</t>
        </is>
      </c>
      <c r="C17" s="15" t="inlineStr">
        <is>
          <t>tỷ</t>
        </is>
      </c>
      <c r="D17" s="17" t="n">
        <v>292627.499</v>
      </c>
      <c r="E17" s="17" t="n">
        <v>356373.794</v>
      </c>
      <c r="F17" s="17" t="n">
        <v>447734.256</v>
      </c>
      <c r="G17" s="17" t="n">
        <v>587326.3050000001</v>
      </c>
      <c r="H17" s="17" t="n">
        <v>751875.632</v>
      </c>
      <c r="I17" s="17" t="n">
        <v>1059781.834</v>
      </c>
      <c r="J17" s="18" t="inlineStr">
        <is>
          <t>TM 10.1 BCTC HN 2020-2024 &amp; TM 9.1 BCTC HN 2025 (Trong đó ký quỹ MBS: 4.123 -&gt; 15.041 tỷ)</t>
        </is>
      </c>
    </row>
    <row r="18" ht="20" customHeight="1">
      <c r="A18" s="11" t="inlineStr">
        <is>
          <t>TM 10.1</t>
        </is>
      </c>
      <c r="B18" s="12" t="inlineStr">
        <is>
          <t>Nhóm 2 - Nợ cần chú ý (Hợp nhất)</t>
        </is>
      </c>
      <c r="C18" s="11" t="inlineStr">
        <is>
          <t>tỷ</t>
        </is>
      </c>
      <c r="D18" s="13" t="n">
        <v>2421.678</v>
      </c>
      <c r="E18" s="13" t="n">
        <v>3912.949</v>
      </c>
      <c r="F18" s="13" t="n">
        <v>7808.932</v>
      </c>
      <c r="G18" s="13" t="n">
        <v>13917.867</v>
      </c>
      <c r="H18" s="13" t="n">
        <v>12196.782</v>
      </c>
      <c r="I18" s="13" t="n">
        <v>10210.04</v>
      </c>
      <c r="J18" s="14" t="inlineStr">
        <is>
          <t>TM 10.1 BCTC HN 2020 (tr.159), 2021 (tr.209), 2022 (tr.234), 2024 (tr.38), TM 9.1 2025 (tr.311)</t>
        </is>
      </c>
    </row>
    <row r="19" ht="20" customHeight="1">
      <c r="A19" s="15" t="inlineStr">
        <is>
          <t>TM 10.1</t>
        </is>
      </c>
      <c r="B19" s="16" t="inlineStr">
        <is>
          <t>Nhóm 3 - Nợ dưới tiêu chuẩn (Hợp nhất)</t>
        </is>
      </c>
      <c r="C19" s="15" t="inlineStr">
        <is>
          <t>tỷ</t>
        </is>
      </c>
      <c r="D19" s="17" t="n">
        <v>889.758</v>
      </c>
      <c r="E19" s="17" t="n">
        <v>1433.433</v>
      </c>
      <c r="F19" s="17" t="n">
        <v>1517.212</v>
      </c>
      <c r="G19" s="17" t="n">
        <v>3210.741</v>
      </c>
      <c r="H19" s="17" t="n">
        <v>3379.646</v>
      </c>
      <c r="I19" s="17" t="n">
        <v>3276.216</v>
      </c>
      <c r="J19" s="18" t="inlineStr">
        <is>
          <t>TM 10.1 BCTC HN 2020-2024 &amp; TM 9.1 BCTC HN 2025</t>
        </is>
      </c>
    </row>
    <row r="20" ht="20" customHeight="1">
      <c r="A20" s="15" t="inlineStr">
        <is>
          <t>TM 10.1</t>
        </is>
      </c>
      <c r="B20" s="16" t="inlineStr">
        <is>
          <t>Nhóm 4 - Nợ nghi ngờ (Hợp nhất)</t>
        </is>
      </c>
      <c r="C20" s="15" t="inlineStr">
        <is>
          <t>tỷ</t>
        </is>
      </c>
      <c r="D20" s="17" t="n">
        <v>973.564</v>
      </c>
      <c r="E20" s="17" t="n">
        <v>1015.111</v>
      </c>
      <c r="F20" s="17" t="n">
        <v>1220.77</v>
      </c>
      <c r="G20" s="17" t="n">
        <v>3704.226</v>
      </c>
      <c r="H20" s="17" t="n">
        <v>4599.274</v>
      </c>
      <c r="I20" s="17" t="n">
        <v>4330.016</v>
      </c>
      <c r="J20" s="18" t="inlineStr">
        <is>
          <t>TM 10.1 BCTC HN 2020-2024 &amp; TM 9.1 BCTC HN 2025</t>
        </is>
      </c>
    </row>
    <row r="21" ht="20" customHeight="1">
      <c r="A21" s="11" t="inlineStr">
        <is>
          <t>TM 10.1</t>
        </is>
      </c>
      <c r="B21" s="12" t="inlineStr">
        <is>
          <t>Nhóm 5 - Nợ có khả năng mất vốn (Hợp nhất)</t>
        </is>
      </c>
      <c r="C21" s="11" t="inlineStr">
        <is>
          <t>tỷ</t>
        </is>
      </c>
      <c r="D21" s="13" t="n">
        <v>1384.484</v>
      </c>
      <c r="E21" s="13" t="n">
        <v>819.491</v>
      </c>
      <c r="F21" s="13" t="n">
        <v>2293.312</v>
      </c>
      <c r="G21" s="13" t="n">
        <v>2889.691</v>
      </c>
      <c r="H21" s="13" t="n">
        <v>4606.512</v>
      </c>
      <c r="I21" s="13" t="n">
        <v>6421.264</v>
      </c>
      <c r="J21" s="14" t="inlineStr">
        <is>
          <t>TM 10.1 BCTC HN 2020-2024 &amp; TM 9.1 BCTC HN 2025</t>
        </is>
      </c>
    </row>
    <row r="22" ht="20" customHeight="1">
      <c r="A22" s="11" t="inlineStr">
        <is>
          <t>TM 10.1</t>
        </is>
      </c>
      <c r="B22" s="12" t="inlineStr">
        <is>
          <t>Tổng Dư nợ cho vay khách hàng Hợp nhất (= SUM Nhóm 1..5)</t>
        </is>
      </c>
      <c r="C22" s="11" t="inlineStr">
        <is>
          <t>tỷ</t>
        </is>
      </c>
      <c r="D22" s="13">
        <f>SUM(D17:D21)</f>
        <v/>
      </c>
      <c r="E22" s="13">
        <f>SUM(E17:E21)</f>
        <v/>
      </c>
      <c r="F22" s="13">
        <f>SUM(F17:F21)</f>
        <v/>
      </c>
      <c r="G22" s="13">
        <f>SUM(G17:G21)</f>
        <v/>
      </c>
      <c r="H22" s="13">
        <f>SUM(H17:H21)</f>
        <v/>
      </c>
      <c r="I22" s="13">
        <f>SUM(I17:I21)</f>
        <v/>
      </c>
      <c r="J22" s="14" t="inlineStr">
        <is>
          <t>Khớp 100% chỉ tiêu VI.1 trên Bảng cân đối kế toán Hợp nhất</t>
        </is>
      </c>
    </row>
    <row r="23" ht="20" customHeight="1">
      <c r="A23" s="11" t="inlineStr">
        <is>
          <t>TM 10.1</t>
        </is>
      </c>
      <c r="B23" s="12" t="inlineStr">
        <is>
          <t>Tổng Nợ xấu nội bảng Hợp nhất (Nhóm 3 + Nhóm 4 + Nhóm 5)</t>
        </is>
      </c>
      <c r="C23" s="11" t="inlineStr">
        <is>
          <t>tỷ</t>
        </is>
      </c>
      <c r="D23" s="13">
        <f>SUM(D19:D21)</f>
        <v/>
      </c>
      <c r="E23" s="13">
        <f>SUM(E19:E21)</f>
        <v/>
      </c>
      <c r="F23" s="13">
        <f>SUM(F19:F21)</f>
        <v/>
      </c>
      <c r="G23" s="13">
        <f>G19+G20+G21</f>
        <v/>
      </c>
      <c r="H23" s="13">
        <f>SUM(H19:H21)</f>
        <v/>
      </c>
      <c r="I23" s="13">
        <f>SUM(I19:I21)</f>
        <v/>
      </c>
      <c r="J23" s="14" t="inlineStr">
        <is>
          <t>Tổng nợ xấu hợp nhất kiểm toán</t>
        </is>
      </c>
    </row>
    <row r="24" ht="20" customHeight="1">
      <c r="A24" s="11" t="inlineStr">
        <is>
          <t>Tỷ lệ</t>
        </is>
      </c>
      <c r="B24" s="12" t="inlineStr">
        <is>
          <t>Tỷ lệ NPL Hợp nhất (= Nợ xấu HN / Dư nợ cho vay HN)</t>
        </is>
      </c>
      <c r="C24" s="11" t="inlineStr">
        <is>
          <t>%</t>
        </is>
      </c>
      <c r="D24" s="20">
        <f>D23/D22</f>
        <v/>
      </c>
      <c r="E24" s="20">
        <f>E23/E22</f>
        <v/>
      </c>
      <c r="F24" s="20">
        <f>F23/F22</f>
        <v/>
      </c>
      <c r="G24" s="20">
        <f>G23/G22</f>
        <v/>
      </c>
      <c r="H24" s="20">
        <f>H23/H22</f>
        <v/>
      </c>
      <c r="I24" s="20">
        <f>I23/I22</f>
        <v/>
      </c>
      <c r="J24" s="14" t="inlineStr">
        <is>
          <t>NPL hợp nhất (không gồm TPDN): 1,09% - 0,90% - 1,09% - 1,60% - 1,62% - 1,29%</t>
        </is>
      </c>
    </row>
    <row r="25" ht="20" customHeight="1">
      <c r="A25" s="15" t="inlineStr">
        <is>
          <t>TM 10.1-RL</t>
        </is>
      </c>
      <c r="B25" s="16" t="inlineStr">
        <is>
          <t>Nhóm 1 - Nợ đủ tiêu chuẩn (Riêng lẻ - Ngân hàng mẹ)</t>
        </is>
      </c>
      <c r="C25" s="15" t="inlineStr">
        <is>
          <t>tỷ</t>
        </is>
      </c>
      <c r="D25" s="17" t="n">
        <v>279605.813</v>
      </c>
      <c r="E25" s="17" t="n">
        <v>336767.464</v>
      </c>
      <c r="F25" s="17" t="n">
        <v>426450.065</v>
      </c>
      <c r="G25" s="17" t="n">
        <v>561512.924</v>
      </c>
      <c r="H25" s="17" t="n">
        <v>717557.785</v>
      </c>
      <c r="I25" s="17" t="n">
        <v>1013857.364</v>
      </c>
      <c r="J25" s="18" t="inlineStr">
        <is>
          <t>TM 10.1 BCTC Riêng 2021 (tr.32), 2022 (tr.33), 2024 (tr.37), TM 9.1 2025 (tr.33)</t>
        </is>
      </c>
    </row>
    <row r="26" ht="20" customHeight="1">
      <c r="A26" s="15" t="inlineStr">
        <is>
          <t>TM 10.1-RL</t>
        </is>
      </c>
      <c r="B26" s="16" t="inlineStr">
        <is>
          <t>Nhóm 2 - Nợ cần chú ý (Riêng lẻ - Ngân hàng mẹ)</t>
        </is>
      </c>
      <c r="C26" s="15" t="inlineStr">
        <is>
          <t>tỷ</t>
        </is>
      </c>
      <c r="D26" s="17" t="n">
        <v>1795.944</v>
      </c>
      <c r="E26" s="17" t="n">
        <v>2190.055</v>
      </c>
      <c r="F26" s="17" t="n">
        <v>5115.654</v>
      </c>
      <c r="G26" s="17" t="n">
        <v>8228.168</v>
      </c>
      <c r="H26" s="17" t="n">
        <v>6542.954</v>
      </c>
      <c r="I26" s="17" t="n">
        <v>5728.344</v>
      </c>
      <c r="J26" s="18" t="inlineStr">
        <is>
          <t>TM 10.1 BCTC Riêng 2021-2024 &amp; TM 9.1 2025 (Năm 2024 sau ĐC KTNN trên BCTC 2025 là 6.912,70 tỷ)</t>
        </is>
      </c>
    </row>
    <row r="27" ht="20" customHeight="1">
      <c r="A27" s="15" t="inlineStr">
        <is>
          <t>TM 10.1-RL</t>
        </is>
      </c>
      <c r="B27" s="16" t="inlineStr">
        <is>
          <t>Tổng Nợ xấu Nhóm 3–5 (Riêng lẻ - Ngân hàng mẹ)</t>
        </is>
      </c>
      <c r="C27" s="15" t="inlineStr">
        <is>
          <t>tỷ</t>
        </is>
      </c>
      <c r="D27" s="17" t="n">
        <v>2598.623</v>
      </c>
      <c r="E27" s="17" t="n">
        <v>2327.978</v>
      </c>
      <c r="F27" s="17" t="n">
        <v>3625.232</v>
      </c>
      <c r="G27" s="17" t="n">
        <v>8121.854</v>
      </c>
      <c r="H27" s="17" t="n">
        <v>10493.355</v>
      </c>
      <c r="I27" s="17" t="n">
        <v>11517.998</v>
      </c>
      <c r="J27" s="18" t="inlineStr">
        <is>
          <t>TM 10.1 BCTC Riêng 2021-2024 &amp; TM 9.1 2025 (Năm 2024 sau ĐC KTNN trên BCTC 2025 là 10.123,61 tỷ)</t>
        </is>
      </c>
    </row>
    <row r="28" ht="20" customHeight="1">
      <c r="A28" s="15" t="inlineStr">
        <is>
          <t>TM 10.1-RL</t>
        </is>
      </c>
      <c r="B28" s="16" t="inlineStr">
        <is>
          <t>Tổng Dư nợ cho vay khách hàng Riêng lẻ</t>
        </is>
      </c>
      <c r="C28" s="15" t="inlineStr">
        <is>
          <t>tỷ</t>
        </is>
      </c>
      <c r="D28" s="19">
        <f>D25+D26+D27</f>
        <v/>
      </c>
      <c r="E28" s="19">
        <f>E25+E26+E27</f>
        <v/>
      </c>
      <c r="F28" s="19">
        <f>F25+F26+F27</f>
        <v/>
      </c>
      <c r="G28" s="19">
        <f>G25+G26+G27</f>
        <v/>
      </c>
      <c r="H28" s="19">
        <f>H25+H26+H27</f>
        <v/>
      </c>
      <c r="I28" s="19">
        <f>I25+I26+I27</f>
        <v/>
      </c>
      <c r="J28" s="18" t="inlineStr">
        <is>
          <t>Khớp 100% chỉ tiêu VI.1 trên Bảng cân đối kế toán Riêng lẻ</t>
        </is>
      </c>
    </row>
    <row r="29" ht="20" customHeight="1">
      <c r="A29" s="11" t="inlineStr">
        <is>
          <t>Tỷ lệ</t>
        </is>
      </c>
      <c r="B29" s="12" t="inlineStr">
        <is>
          <t>Tỷ lệ NPL Riêng lẻ (= Nợ xấu Riêng / Dư nợ cho vay Riêng)</t>
        </is>
      </c>
      <c r="C29" s="11" t="inlineStr">
        <is>
          <t>%</t>
        </is>
      </c>
      <c r="D29" s="20">
        <f>D27/D28</f>
        <v/>
      </c>
      <c r="E29" s="20">
        <f>E27/E28</f>
        <v/>
      </c>
      <c r="F29" s="20">
        <f>F27/F28</f>
        <v/>
      </c>
      <c r="G29" s="20">
        <f>G27/G28</f>
        <v/>
      </c>
      <c r="H29" s="20">
        <f>H27/H28</f>
        <v/>
      </c>
      <c r="I29" s="20">
        <f>I27/I28</f>
        <v/>
      </c>
      <c r="J29" s="14" t="inlineStr">
        <is>
          <t>NPL riêng ngân hàng mẹ: 0,92% - 0,68% - 0,83% - 1,41% - 1,43% (ĐC: 1,38%) - 1,12%</t>
        </is>
      </c>
    </row>
    <row r="30" ht="22" customHeight="1">
      <c r="A30" s="9" t="inlineStr">
        <is>
          <t>III</t>
        </is>
      </c>
      <c r="B30" s="9" t="inlineStr">
        <is>
          <t>BIẾN ĐỘNG DỰ PHÒNG RỦI RO CHO VAY KHÁCH HÀNG (TM 11 / 10)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 ht="20" customHeight="1">
      <c r="A31" s="15" t="inlineStr">
        <is>
          <t>TM 11/10</t>
        </is>
      </c>
      <c r="B31" s="16" t="inlineStr">
        <is>
          <t>Số dư Dự phòng chung cuối năm (Hợp nhất)</t>
        </is>
      </c>
      <c r="C31" s="15" t="inlineStr">
        <is>
          <t>tỷ</t>
        </is>
      </c>
      <c r="D31" s="17" t="n">
        <v>2148.238</v>
      </c>
      <c r="E31" s="17" t="n">
        <v>2590.776</v>
      </c>
      <c r="F31" s="17" t="n">
        <v>3400.915</v>
      </c>
      <c r="G31" s="17" t="n">
        <v>4551.746</v>
      </c>
      <c r="H31" s="17" t="n">
        <v>5795.573</v>
      </c>
      <c r="I31" s="17" t="n">
        <v>8098.145</v>
      </c>
      <c r="J31" s="18" t="inlineStr">
        <is>
          <t>TM 11 BCTC HN 2020 (tr.161), 2021 (tr.210), 2022 (tr.236), 2024 (tr.39), TM 10 2025 (tr.313)</t>
        </is>
      </c>
    </row>
    <row r="32" ht="20" customHeight="1">
      <c r="A32" s="15" t="inlineStr">
        <is>
          <t>TM 11/10</t>
        </is>
      </c>
      <c r="B32" s="16" t="inlineStr">
        <is>
          <t>Số dư Dự phòng cụ thể cuối năm (Hợp nhất)</t>
        </is>
      </c>
      <c r="C32" s="15" t="inlineStr">
        <is>
          <t>tỷ</t>
        </is>
      </c>
      <c r="D32" s="17" t="n">
        <v>2205.981</v>
      </c>
      <c r="E32" s="17" t="n">
        <v>6166.908</v>
      </c>
      <c r="F32" s="17" t="n">
        <v>8574.945</v>
      </c>
      <c r="G32" s="17" t="n">
        <v>6917.817</v>
      </c>
      <c r="H32" s="17" t="n">
        <v>5814.288</v>
      </c>
      <c r="I32" s="17" t="n">
        <v>5052.448</v>
      </c>
      <c r="J32" s="18" t="inlineStr">
        <is>
          <t>TM 11 BCTC HN 2020-2024 &amp; TM 10 BCTC HN 2025</t>
        </is>
      </c>
    </row>
    <row r="33" ht="20" customHeight="1">
      <c r="A33" s="11" t="inlineStr">
        <is>
          <t>TM 11/10</t>
        </is>
      </c>
      <c r="B33" s="12" t="inlineStr">
        <is>
          <t>Tổng số dư Dự phòng rủi ro cho vay KH cuối năm (Hợp nhất)</t>
        </is>
      </c>
      <c r="C33" s="11" t="inlineStr">
        <is>
          <t>tỷ</t>
        </is>
      </c>
      <c r="D33" s="13">
        <f>D31+D32</f>
        <v/>
      </c>
      <c r="E33" s="13">
        <f>E31+E32</f>
        <v/>
      </c>
      <c r="F33" s="13">
        <f>F31+F32</f>
        <v/>
      </c>
      <c r="G33" s="13">
        <f>G31+G32</f>
        <v/>
      </c>
      <c r="H33" s="13">
        <f>H31+H32</f>
        <v/>
      </c>
      <c r="I33" s="13">
        <f>I31+I32</f>
        <v/>
      </c>
      <c r="J33" s="14" t="inlineStr">
        <is>
          <t>Tổng quỹ dự phòng rủi ro cho vay KH Hợp nhất = DP chung + DP cụ thể</t>
        </is>
      </c>
    </row>
    <row r="34" ht="20" customHeight="1">
      <c r="A34" s="15" t="inlineStr">
        <is>
          <t>TM 11/10</t>
        </is>
      </c>
      <c r="B34" s="16" t="inlineStr">
        <is>
          <t>Trích lập dự phòng rủi ro cho vay KH trong năm (Hợp nhất)</t>
        </is>
      </c>
      <c r="C34" s="15" t="inlineStr">
        <is>
          <t>tỷ</t>
        </is>
      </c>
      <c r="D34" s="17" t="n">
        <v>6139.086</v>
      </c>
      <c r="E34" s="17" t="n">
        <v>7953.801</v>
      </c>
      <c r="F34" s="17" t="n">
        <v>7873.697</v>
      </c>
      <c r="G34" s="17" t="n">
        <v>6114.903</v>
      </c>
      <c r="H34" s="17" t="n">
        <v>9534.768</v>
      </c>
      <c r="I34" s="17" t="n">
        <v>13690.356</v>
      </c>
      <c r="J34" s="18" t="inlineStr">
        <is>
          <t>TM 11 BCTC HN 2020-2024 &amp; TM 10 BCTC HN 2025 (Trích lập DP chung + cụ thể)</t>
        </is>
      </c>
    </row>
    <row r="35" ht="20" customHeight="1">
      <c r="A35" s="11" t="inlineStr">
        <is>
          <t>TM 11/10</t>
        </is>
      </c>
      <c r="B35" s="12" t="inlineStr">
        <is>
          <t>Sử dụng dự phòng để xử lý rủi ro trong năm (Nợ xóa - Hợp nhất)</t>
        </is>
      </c>
      <c r="C35" s="11" t="inlineStr">
        <is>
          <t>tỷ</t>
        </is>
      </c>
      <c r="D35" s="13" t="n">
        <v>4980.2</v>
      </c>
      <c r="E35" s="13" t="n">
        <v>3542.937</v>
      </c>
      <c r="F35" s="13" t="n">
        <v>4412.07</v>
      </c>
      <c r="G35" s="13" t="n">
        <v>6622.439</v>
      </c>
      <c r="H35" s="13" t="n">
        <v>9396.915000000001</v>
      </c>
      <c r="I35" s="13" t="n">
        <v>12185.137</v>
      </c>
      <c r="J35" s="14" t="inlineStr">
        <is>
          <t>TM 11 BCTC HN 2020 (tr.161), 2021 (tr.210), 2022 (tr.236), 2024 (tr.39), TM 10 2025 (tr.313)</t>
        </is>
      </c>
    </row>
    <row r="36" ht="20" customHeight="1">
      <c r="A36" s="15" t="inlineStr">
        <is>
          <t>TM 11/10-RL</t>
        </is>
      </c>
      <c r="B36" s="16" t="inlineStr">
        <is>
          <t>Sử dụng dự phòng để xử lý rủi ro trong năm (Nợ xóa - Riêng lẻ)</t>
        </is>
      </c>
      <c r="C36" s="15" t="inlineStr">
        <is>
          <t>tỷ</t>
        </is>
      </c>
      <c r="D36" s="17" t="n">
        <v>3363.122</v>
      </c>
      <c r="E36" s="17" t="n">
        <v>2266.385</v>
      </c>
      <c r="F36" s="17" t="n">
        <v>2216.582</v>
      </c>
      <c r="G36" s="17" t="n">
        <v>4331.306</v>
      </c>
      <c r="H36" s="17" t="n">
        <v>5889.319</v>
      </c>
      <c r="I36" s="17" t="n">
        <v>7823.582</v>
      </c>
      <c r="J36" s="18" t="inlineStr">
        <is>
          <t>TM 11 BCTC Riêng 2021 (tr.33), 2022 (tr.35), 2024 (tr.39), TM 10 2025 (tr.34)</t>
        </is>
      </c>
    </row>
    <row r="37" ht="20" customHeight="1">
      <c r="A37" s="11" t="inlineStr">
        <is>
          <t>Tỷ lệ</t>
        </is>
      </c>
      <c r="B37" s="12" t="inlineStr">
        <is>
          <t>Tỷ lệ bao phủ nợ xấu Hợp nhất (LLCR = Tổng DPRR HN / Nợ xấu HN)</t>
        </is>
      </c>
      <c r="C37" s="11" t="inlineStr">
        <is>
          <t>%</t>
        </is>
      </c>
      <c r="D37" s="23">
        <f>D33/D23</f>
        <v/>
      </c>
      <c r="E37" s="23">
        <f>E33/E23</f>
        <v/>
      </c>
      <c r="F37" s="23">
        <f>F33/F23</f>
        <v/>
      </c>
      <c r="G37" s="23">
        <f>G33/G23</f>
        <v/>
      </c>
      <c r="H37" s="23">
        <f>H33/H23</f>
        <v/>
      </c>
      <c r="I37" s="23">
        <f>I33/I23</f>
        <v/>
      </c>
      <c r="J37" s="14" t="inlineStr">
        <is>
          <t>LLCR Hợp nhất: 134,1% - 268,0% - 238,0% - 117,0% - 92,3% - 93,8%</t>
        </is>
      </c>
    </row>
    <row r="38" ht="20" customHeight="1">
      <c r="A38" s="15" t="inlineStr">
        <is>
          <t>Tỷ lệ</t>
        </is>
      </c>
      <c r="B38" s="16" t="inlineStr">
        <is>
          <t>Tỷ lệ bao phủ nợ xấu Riêng lẻ (LLCR = Tổng DPRR Riêng / Nợ xấu Riêng)</t>
        </is>
      </c>
      <c r="C38" s="15" t="inlineStr">
        <is>
          <t>%</t>
        </is>
      </c>
      <c r="D38" s="24">
        <f>D11/D27</f>
        <v/>
      </c>
      <c r="E38" s="24">
        <f>E11/E27</f>
        <v/>
      </c>
      <c r="F38" s="24">
        <f>F11/F27</f>
        <v/>
      </c>
      <c r="G38" s="24">
        <f>G11/G27</f>
        <v/>
      </c>
      <c r="H38" s="24">
        <f>H11/H27</f>
        <v/>
      </c>
      <c r="I38" s="24">
        <f>I11/I27</f>
        <v/>
      </c>
      <c r="J38" s="18" t="inlineStr">
        <is>
          <t>LLCR Riêng lẻ: 158,9% - 348,7% - 295,3% - 115,5% - 94,5% (ĐC: 98,0%) - 101,0%</t>
        </is>
      </c>
    </row>
    <row r="39" ht="22" customHeight="1">
      <c r="A39" s="9" t="inlineStr">
        <is>
          <t>IV</t>
        </is>
      </c>
      <c r="B39" s="9" t="inlineStr">
        <is>
          <t>BÁO CÁO KẾT QUẢ HOẠT ĐỘNG KINH DOANH HỢP NHẤT &amp; THU NỢ XLRR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</row>
    <row r="40" ht="20" customHeight="1">
      <c r="A40" s="15" t="inlineStr">
        <is>
          <t>B03-HN</t>
        </is>
      </c>
      <c r="B40" s="16" t="inlineStr">
        <is>
          <t>Thu nhập lãi thuần (NII - Hợp nhất)</t>
        </is>
      </c>
      <c r="C40" s="15" t="inlineStr">
        <is>
          <t>tỷ</t>
        </is>
      </c>
      <c r="D40" s="17" t="n">
        <v>20277.795</v>
      </c>
      <c r="E40" s="17" t="n">
        <v>26199.554</v>
      </c>
      <c r="F40" s="17" t="n">
        <v>36023.122</v>
      </c>
      <c r="G40" s="17" t="n">
        <v>38683.848</v>
      </c>
      <c r="H40" s="17" t="n">
        <v>41152.219</v>
      </c>
      <c r="I40" s="17" t="n">
        <v>51610.117</v>
      </c>
      <c r="J40" s="18" t="inlineStr">
        <is>
          <t>B03/TCTD-HN 2020-2025</t>
        </is>
      </c>
    </row>
    <row r="41" ht="20" customHeight="1">
      <c r="A41" s="15" t="inlineStr">
        <is>
          <t>TM 31/32</t>
        </is>
      </c>
      <c r="B41" s="16" t="inlineStr">
        <is>
          <t>Kết quả thuần từ hoạt động khác (Mục VI KQKD Hợp nhất)</t>
        </is>
      </c>
      <c r="C41" s="15" t="inlineStr">
        <is>
          <t>tỷ</t>
        </is>
      </c>
      <c r="D41" s="17" t="n">
        <v>1679.55</v>
      </c>
      <c r="E41" s="17" t="n">
        <v>3254.314</v>
      </c>
      <c r="F41" s="17" t="n">
        <v>2141.658</v>
      </c>
      <c r="G41" s="17" t="n">
        <v>2428.111</v>
      </c>
      <c r="H41" s="17" t="n">
        <v>3280.82</v>
      </c>
      <c r="I41" s="17" t="n">
        <v>5314.474</v>
      </c>
      <c r="J41" s="18" t="inlineStr">
        <is>
          <t>TM 31 BCTC HN 2020-2022, TM 32 BCTC HN 2024, TM 31 BCTC HN 2025</t>
        </is>
      </c>
    </row>
    <row r="42" ht="20" customHeight="1">
      <c r="A42" s="11" t="inlineStr">
        <is>
          <t>TM 31/32</t>
        </is>
      </c>
      <c r="B42" s="12" t="inlineStr">
        <is>
          <t>Trong đó: Thu từ các khoản nợ đã xử lý rủi ro (Hợp nhất)</t>
        </is>
      </c>
      <c r="C42" s="11" t="inlineStr">
        <is>
          <t>tỷ</t>
        </is>
      </c>
      <c r="D42" s="13" t="n">
        <v>1599.755</v>
      </c>
      <c r="E42" s="13" t="n">
        <v>2689.366</v>
      </c>
      <c r="F42" s="13" t="n">
        <v>1648.266</v>
      </c>
      <c r="G42" s="13" t="n">
        <v>1711.016</v>
      </c>
      <c r="H42" s="13" t="n">
        <v>2451.56</v>
      </c>
      <c r="I42" s="13" t="n">
        <v>4141.692</v>
      </c>
      <c r="J42" s="14" t="inlineStr">
        <is>
          <t>TM 31 BCTC HN 2020 (tr.173), 2021 (tr.222), 2022 (tr.249), TM 32 2024 (tr.55), TM 31 2025 (tr.327)</t>
        </is>
      </c>
    </row>
    <row r="43" ht="20" customHeight="1">
      <c r="A43" s="11" t="inlineStr">
        <is>
          <t>B03-HN</t>
        </is>
      </c>
      <c r="B43" s="12" t="inlineStr">
        <is>
          <t>Tổng thu nhập hoạt động (TOI - Hợp nhất)</t>
        </is>
      </c>
      <c r="C43" s="11" t="inlineStr">
        <is>
          <t>tỷ</t>
        </is>
      </c>
      <c r="D43" s="13" t="n">
        <v>27362.173</v>
      </c>
      <c r="E43" s="13" t="n">
        <v>36934.498</v>
      </c>
      <c r="F43" s="13" t="n">
        <v>45592.625</v>
      </c>
      <c r="G43" s="13" t="n">
        <v>47306.062</v>
      </c>
      <c r="H43" s="13" t="n">
        <v>55413.222</v>
      </c>
      <c r="I43" s="13" t="n">
        <v>67693.015</v>
      </c>
      <c r="J43" s="14" t="inlineStr">
        <is>
          <t>B03/TCTD-HN 2020-2025</t>
        </is>
      </c>
    </row>
    <row r="44" ht="20" customHeight="1">
      <c r="A44" s="15" t="inlineStr">
        <is>
          <t>TM 34/35</t>
        </is>
      </c>
      <c r="B44" s="16" t="inlineStr">
        <is>
          <t>Tổng chi phí hoạt động (OPEX - Hợp nhất)</t>
        </is>
      </c>
      <c r="C44" s="15" t="inlineStr">
        <is>
          <t>tỷ</t>
        </is>
      </c>
      <c r="D44" s="17" t="n">
        <v>10555.457</v>
      </c>
      <c r="E44" s="17" t="n">
        <v>12377.188</v>
      </c>
      <c r="F44" s="17" t="n">
        <v>14815.628</v>
      </c>
      <c r="G44" s="17" t="n">
        <v>14912.941</v>
      </c>
      <c r="H44" s="17" t="n">
        <v>17007.25</v>
      </c>
      <c r="I44" s="17" t="n">
        <v>19681.153</v>
      </c>
      <c r="J44" s="18" t="inlineStr">
        <is>
          <t>B03/TCTD-HN 2020-2025</t>
        </is>
      </c>
    </row>
    <row r="45" ht="20" customHeight="1">
      <c r="A45" s="11" t="inlineStr">
        <is>
          <t>B03-HN</t>
        </is>
      </c>
      <c r="B45" s="12" t="inlineStr">
        <is>
          <t>Lợi nhuận thuần từ HĐKD trước CP DPRR (PPOP - Hợp nhất)</t>
        </is>
      </c>
      <c r="C45" s="11" t="inlineStr">
        <is>
          <t>tỷ</t>
        </is>
      </c>
      <c r="D45" s="13">
        <f>D43-D44</f>
        <v/>
      </c>
      <c r="E45" s="13">
        <f>E43-E44</f>
        <v/>
      </c>
      <c r="F45" s="13">
        <f>F43-F44</f>
        <v/>
      </c>
      <c r="G45" s="13">
        <f>G43-G44</f>
        <v/>
      </c>
      <c r="H45" s="13">
        <f>H43-H44</f>
        <v/>
      </c>
      <c r="I45" s="13">
        <f>I43-I44</f>
        <v/>
      </c>
      <c r="J45" s="14" t="inlineStr">
        <is>
          <t>TOI trừ OPEX trên B03/TCTD-HN</t>
        </is>
      </c>
    </row>
    <row r="46" ht="20" customHeight="1">
      <c r="A46" s="11" t="inlineStr">
        <is>
          <t>TM 35/36</t>
        </is>
      </c>
      <c r="B46" s="12" t="inlineStr">
        <is>
          <t>Chi phí dự phòng rủi ro tín dụng trên KQKD (Hợp nhất)</t>
        </is>
      </c>
      <c r="C46" s="11" t="inlineStr">
        <is>
          <t>tỷ</t>
        </is>
      </c>
      <c r="D46" s="13" t="n">
        <v>6118.44</v>
      </c>
      <c r="E46" s="13" t="n">
        <v>8030.051</v>
      </c>
      <c r="F46" s="13" t="n">
        <v>8047.677</v>
      </c>
      <c r="G46" s="13" t="n">
        <v>6087.032</v>
      </c>
      <c r="H46" s="13" t="n">
        <v>9576.644</v>
      </c>
      <c r="I46" s="13" t="n">
        <v>13743.504</v>
      </c>
      <c r="J46" s="14" t="inlineStr">
        <is>
          <t>B03/TCTD-HN (Gồm trích lập DPRR cho vay KH + Mua nợ + Phải thu ký quỹ MBS + Cho vay TCTD)</t>
        </is>
      </c>
    </row>
    <row r="47" ht="20" customHeight="1">
      <c r="A47" s="11" t="inlineStr">
        <is>
          <t>B03-HN</t>
        </is>
      </c>
      <c r="B47" s="12" t="inlineStr">
        <is>
          <t>Tổng lợi nhuận trước thuế (LNTT - Hợp nhất)</t>
        </is>
      </c>
      <c r="C47" s="11" t="inlineStr">
        <is>
          <t>tỷ</t>
        </is>
      </c>
      <c r="D47" s="13">
        <f>D45-D46</f>
        <v/>
      </c>
      <c r="E47" s="13">
        <f>E45-E46</f>
        <v/>
      </c>
      <c r="F47" s="13">
        <f>F45-F46</f>
        <v/>
      </c>
      <c r="G47" s="13">
        <f>G45-G46</f>
        <v/>
      </c>
      <c r="H47" s="13">
        <f>H45-H46</f>
        <v/>
      </c>
      <c r="I47" s="13">
        <f>I45-I46</f>
        <v/>
      </c>
      <c r="J47" s="14" t="inlineStr">
        <is>
          <t>B03/TCTD-HN 2020-2025</t>
        </is>
      </c>
    </row>
    <row r="48" ht="20" customHeight="1">
      <c r="A48" s="11" t="inlineStr">
        <is>
          <t>B03-HN</t>
        </is>
      </c>
      <c r="B48" s="12" t="inlineStr">
        <is>
          <t>Lợi nhuận sau thuế (LNST - Hợp nhất)</t>
        </is>
      </c>
      <c r="C48" s="11" t="inlineStr">
        <is>
          <t>tỷ</t>
        </is>
      </c>
      <c r="D48" s="13" t="n">
        <v>8606.039000000001</v>
      </c>
      <c r="E48" s="13" t="n">
        <v>13221.437</v>
      </c>
      <c r="F48" s="13" t="n">
        <v>18155.185</v>
      </c>
      <c r="G48" s="13" t="n">
        <v>21053.792</v>
      </c>
      <c r="H48" s="13" t="n">
        <v>22951.264</v>
      </c>
      <c r="I48" s="13" t="n">
        <v>27382.978</v>
      </c>
      <c r="J48" s="14" t="inlineStr">
        <is>
          <t>B03/TCTD-HN 2020-2025</t>
        </is>
      </c>
    </row>
    <row r="49" ht="22" customHeight="1">
      <c r="A49" s="9" t="inlineStr">
        <is>
          <t>V</t>
        </is>
      </c>
      <c r="B49" s="9" t="inlineStr">
        <is>
          <t>TRÁI PHIẾU DOANH NGHIỆP, TÀI SẢN ĐẢM BẢO, DƯ NỢ NGÀNH &amp; CÔNG TY CON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</row>
    <row r="50" ht="20" customHeight="1">
      <c r="A50" s="15" t="inlineStr">
        <is>
          <t>TM 12.1</t>
        </is>
      </c>
      <c r="B50" s="16" t="inlineStr">
        <is>
          <t>Chứng khoán nợ do TCKT phát hành - Sẵn sàng để bán (TPDN AFS)</t>
        </is>
      </c>
      <c r="C50" s="15" t="inlineStr">
        <is>
          <t>tỷ</t>
        </is>
      </c>
      <c r="D50" s="17" t="n">
        <v>24798.761</v>
      </c>
      <c r="E50" s="17" t="n">
        <v>39208.003</v>
      </c>
      <c r="F50" s="17" t="n">
        <v>43578.602</v>
      </c>
      <c r="G50" s="17" t="n">
        <v>35765.757</v>
      </c>
      <c r="H50" s="17" t="n">
        <v>31485.624</v>
      </c>
      <c r="I50" s="17" t="n">
        <v>21780.026</v>
      </c>
      <c r="J50" s="18" t="inlineStr">
        <is>
          <t>TM 12.1 BCTC HN 2020-2022, TM 13.1 2024 (tr.40), TM 12.1 2025 (tr.314)</t>
        </is>
      </c>
    </row>
    <row r="51" ht="20" customHeight="1">
      <c r="A51" s="15" t="inlineStr">
        <is>
          <t>TM 12.2</t>
        </is>
      </c>
      <c r="B51" s="16" t="inlineStr">
        <is>
          <t>Chứng khoán nợ do TCKT phát hành - Giữ đến đáo hạn (TPDN HTM)</t>
        </is>
      </c>
      <c r="C51" s="15" t="inlineStr">
        <is>
          <t>tỷ</t>
        </is>
      </c>
      <c r="D51" s="17" t="n">
        <v>2617.258</v>
      </c>
      <c r="E51" s="17" t="n">
        <v>3160.653</v>
      </c>
      <c r="F51" s="17" t="n">
        <v>3291.371</v>
      </c>
      <c r="G51" s="17" t="n">
        <v>2682.434</v>
      </c>
      <c r="H51" s="17" t="n">
        <v>1957.474</v>
      </c>
      <c r="I51" s="17" t="n">
        <v>1630.13</v>
      </c>
      <c r="J51" s="18" t="inlineStr">
        <is>
          <t>TM 12.2 BCTC HN 2020-2022, TM 13.2 2024 (tr.41), TM 12.2 2025 (tr.315)</t>
        </is>
      </c>
    </row>
    <row r="52" ht="20" customHeight="1">
      <c r="A52" s="11" t="inlineStr">
        <is>
          <t>TM 12/13</t>
        </is>
      </c>
      <c r="B52" s="12" t="inlineStr">
        <is>
          <t>Tổng Trái phiếu Doanh nghiệp (TCKT = AFS + HTM Gross)</t>
        </is>
      </c>
      <c r="C52" s="11" t="inlineStr">
        <is>
          <t>tỷ</t>
        </is>
      </c>
      <c r="D52" s="13">
        <f>D50+D51</f>
        <v/>
      </c>
      <c r="E52" s="13">
        <f>E50+E51</f>
        <v/>
      </c>
      <c r="F52" s="13">
        <f>F50+F51</f>
        <v/>
      </c>
      <c r="G52" s="13">
        <f>G50+G51</f>
        <v/>
      </c>
      <c r="H52" s="13">
        <f>H50+H51</f>
        <v/>
      </c>
      <c r="I52" s="13">
        <f>I50+I51</f>
        <v/>
      </c>
      <c r="J52" s="14" t="inlineStr">
        <is>
          <t>Giải quyết mâu thuẫn 2022: TPDN TCKT chuẩn = 46.870 tỷ (còn 66.307 tỷ là CK nợ TCTD)</t>
        </is>
      </c>
    </row>
    <row r="53" ht="20" customHeight="1">
      <c r="A53" s="15" t="inlineStr">
        <is>
          <t>TM 12/13</t>
        </is>
      </c>
      <c r="B53" s="16" t="inlineStr">
        <is>
          <t>Chứng khoán nợ do các TCTD trong nước phát hành (AFS + HTM)</t>
        </is>
      </c>
      <c r="C53" s="15" t="inlineStr">
        <is>
          <t>tỷ</t>
        </is>
      </c>
      <c r="D53" s="17" t="n">
        <v>19881.881</v>
      </c>
      <c r="E53" s="17" t="n">
        <v>47632.1</v>
      </c>
      <c r="F53" s="17" t="n">
        <v>68220.588</v>
      </c>
      <c r="G53" s="17" t="n">
        <v>50215.258</v>
      </c>
      <c r="H53" s="17" t="n">
        <v>105951.223</v>
      </c>
      <c r="I53" s="17" t="n">
        <v>138248.209</v>
      </c>
      <c r="J53" s="18" t="inlineStr">
        <is>
          <t>TM 12/13 BCTC HN (Riêng AFS năm 2022 là 66.307,37 tỷ HN / 66.279 tỷ Riêng lẻ)</t>
        </is>
      </c>
    </row>
    <row r="54" ht="20" customHeight="1">
      <c r="A54" s="11" t="inlineStr">
        <is>
          <t>Tổng TD</t>
        </is>
      </c>
      <c r="B54" s="12" t="inlineStr">
        <is>
          <t>Tổng dư nợ tín dụng Hợp nhất (Cho vay KH + TPDN TCKT + Mua nợ)</t>
        </is>
      </c>
      <c r="C54" s="11" t="inlineStr">
        <is>
          <t>tỷ</t>
        </is>
      </c>
      <c r="D54" s="13">
        <f>D22+D52+D13</f>
        <v/>
      </c>
      <c r="E54" s="13">
        <f>E22+E52+E13</f>
        <v/>
      </c>
      <c r="F54" s="13">
        <f>F22+F52+F13</f>
        <v/>
      </c>
      <c r="G54" s="13">
        <f>G22+G52+G13</f>
        <v/>
      </c>
      <c r="H54" s="13">
        <f>H22+H52+H13</f>
        <v/>
      </c>
      <c r="I54" s="13">
        <f>I22+I52+I13</f>
        <v/>
      </c>
      <c r="J54" s="14" t="inlineStr">
        <is>
          <t>Khớp con số 'hơn 811 nghìn tỷ' năm 2024 (811.052 tỷ) trên BCTN 2024</t>
        </is>
      </c>
    </row>
    <row r="55" ht="20" customHeight="1">
      <c r="A55" s="11" t="inlineStr">
        <is>
          <t>TM 39-42</t>
        </is>
      </c>
      <c r="B55" s="12" t="inlineStr">
        <is>
          <t>Tổng giá trị Tài sản bảo đảm của khách hàng (Hợp nhất)</t>
        </is>
      </c>
      <c r="C55" s="11" t="inlineStr">
        <is>
          <t>tỷ</t>
        </is>
      </c>
      <c r="D55" s="13" t="n">
        <v>1018418.104</v>
      </c>
      <c r="E55" s="13" t="n">
        <v>1350936.216</v>
      </c>
      <c r="F55" s="13" t="n">
        <v>1379178.603</v>
      </c>
      <c r="G55" s="13" t="n">
        <v>1371243.536</v>
      </c>
      <c r="H55" s="13" t="n">
        <v>1481628.261</v>
      </c>
      <c r="I55" s="13" t="n">
        <v>2030363.253</v>
      </c>
      <c r="J55" s="14" t="inlineStr">
        <is>
          <t>TM 39.2 BCTC HN 2020, TM 40.2 2021-2022, TM 42.2 2024 (tr.69), TM 41.2 2025 (tr.341)</t>
        </is>
      </c>
    </row>
    <row r="56" ht="20" customHeight="1">
      <c r="A56" s="11" t="inlineStr">
        <is>
          <t>TM 39-42</t>
        </is>
      </c>
      <c r="B56" s="12" t="inlineStr">
        <is>
          <t>Trong đó: Bất động sản thế chấp của khách hàng</t>
        </is>
      </c>
      <c r="C56" s="11" t="inlineStr">
        <is>
          <t>tỷ</t>
        </is>
      </c>
      <c r="D56" s="13" t="n">
        <v>338549.573</v>
      </c>
      <c r="E56" s="13" t="n">
        <v>424065.448</v>
      </c>
      <c r="F56" s="13" t="n">
        <v>534896.9080000001</v>
      </c>
      <c r="G56" s="13" t="n">
        <v>630518.715</v>
      </c>
      <c r="H56" s="13" t="n">
        <v>772485.557</v>
      </c>
      <c r="I56" s="13" t="n">
        <v>1025680.684</v>
      </c>
      <c r="J56" s="14" t="inlineStr">
        <is>
          <t>TM 39.2/40.2/42.2/41.2 BCTC HN (Chiếm 31,4% - 52,1% tổng TSĐB)</t>
        </is>
      </c>
    </row>
    <row r="57" ht="20" customHeight="1">
      <c r="A57" s="11" t="inlineStr">
        <is>
          <t>TM 10.4</t>
        </is>
      </c>
      <c r="B57" s="12" t="inlineStr">
        <is>
          <t>Dư nợ ngành Hoạt động kinh doanh bất động sản (Hợp nhất)</t>
        </is>
      </c>
      <c r="C57" s="11" t="inlineStr">
        <is>
          <t>tỷ</t>
        </is>
      </c>
      <c r="D57" s="13" t="n">
        <v>9395.156999999999</v>
      </c>
      <c r="E57" s="13" t="n">
        <v>12632.155</v>
      </c>
      <c r="F57" s="13" t="n">
        <v>21357.811</v>
      </c>
      <c r="G57" s="13" t="n">
        <v>43268.446</v>
      </c>
      <c r="H57" s="13" t="n">
        <v>64141.215</v>
      </c>
      <c r="I57" s="13" t="n">
        <v>121188.714</v>
      </c>
      <c r="J57" s="14" t="inlineStr">
        <is>
          <t>TM 10.4 BCTC HN 2020-2024 &amp; TM 9.4 2025 (Tăng từ 3,15% năm 2020 lên 11,18% năm 2025)</t>
        </is>
      </c>
    </row>
    <row r="58" ht="20" customHeight="1">
      <c r="A58" s="15" t="inlineStr">
        <is>
          <t>TM 10.4</t>
        </is>
      </c>
      <c r="B58" s="16" t="inlineStr">
        <is>
          <t>Dư nợ ngành Xây dựng (Hợp nhất)</t>
        </is>
      </c>
      <c r="C58" s="15" t="inlineStr">
        <is>
          <t>tỷ</t>
        </is>
      </c>
      <c r="D58" s="17" t="n">
        <v>18157.881</v>
      </c>
      <c r="E58" s="17" t="n">
        <v>22523.216</v>
      </c>
      <c r="F58" s="17" t="n">
        <v>26445.868</v>
      </c>
      <c r="G58" s="17" t="n">
        <v>28700.45</v>
      </c>
      <c r="H58" s="17" t="n">
        <v>31917.958</v>
      </c>
      <c r="I58" s="17" t="n">
        <v>45398.649</v>
      </c>
      <c r="J58" s="18" t="inlineStr">
        <is>
          <t>TM 10.4 BCTC HN 2020-2024 &amp; TM 9.4 2025 (Chiếm 4,11% - 6,20% dư nợ)</t>
        </is>
      </c>
    </row>
    <row r="59" ht="20" customHeight="1">
      <c r="A59" s="11" t="inlineStr">
        <is>
          <t>TM 10.4</t>
        </is>
      </c>
      <c r="B59" s="12" t="inlineStr">
        <is>
          <t>Dư nợ cho vay tiêu dùng Khối Công ty con (MCredit &amp; MBCambodia = HN - Riêng)</t>
        </is>
      </c>
      <c r="C59" s="11" t="inlineStr">
        <is>
          <t>tỷ</t>
        </is>
      </c>
      <c r="D59" s="13" t="n">
        <v>10173.263</v>
      </c>
      <c r="E59" s="13" t="n">
        <v>15117.992</v>
      </c>
      <c r="F59" s="13" t="n">
        <v>21624.031</v>
      </c>
      <c r="G59" s="13" t="n">
        <v>21388.364</v>
      </c>
      <c r="H59" s="13" t="n">
        <v>25434.734</v>
      </c>
      <c r="I59" s="13" t="n">
        <v>29622.319</v>
      </c>
      <c r="J59" s="14" t="inlineStr">
        <is>
          <t>Chênh lệch dòng 19 Hộ gia đình TM 10.4 HN và Riêng lẻ (MCredit là chủ yếu; MBV không hợp nhất theo Điều 185 Luật TCTD 2024, TM 3.4 tr.148)</t>
        </is>
      </c>
    </row>
    <row r="60" ht="20" customHeight="1">
      <c r="A60" s="15" t="inlineStr">
        <is>
          <t>TM 10.1</t>
        </is>
      </c>
      <c r="B60" s="16" t="inlineStr">
        <is>
          <t>Nợ xấu Nhóm 3–5 của Khối Công ty con (chủ yếu MCredit = Nợ xấu HN - Riêng)</t>
        </is>
      </c>
      <c r="C60" s="15" t="inlineStr">
        <is>
          <t>tỷ</t>
        </is>
      </c>
      <c r="D60" s="19">
        <f>D23-D27</f>
        <v/>
      </c>
      <c r="E60" s="19">
        <f>E23-E27</f>
        <v/>
      </c>
      <c r="F60" s="19">
        <f>F23-F27</f>
        <v/>
      </c>
      <c r="G60" s="19">
        <f>G23-G27</f>
        <v/>
      </c>
      <c r="H60" s="19">
        <f>H23-H27</f>
        <v/>
      </c>
      <c r="I60" s="19">
        <f>I23-I27</f>
        <v/>
      </c>
      <c r="J60" s="18" t="inlineStr">
        <is>
          <t>Bóc tách chính xác từ TM 10.1/9.1 BCTC Hợp nhất và Riêng lẻ (MBV không hợp nhất vào BCTC MB)</t>
        </is>
      </c>
    </row>
    <row r="61" ht="20" customHeight="1">
      <c r="A61" s="15" t="inlineStr">
        <is>
          <t>TM 10.1</t>
        </is>
      </c>
      <c r="B61" s="16" t="inlineStr">
        <is>
          <t>Dư nợ cho vay giao dịch ký quỹ &amp; ứng trước của MBS (Nhóm 1)</t>
        </is>
      </c>
      <c r="C61" s="15" t="inlineStr">
        <is>
          <t>tỷ</t>
        </is>
      </c>
      <c r="D61" s="17" t="n">
        <v>4123.34</v>
      </c>
      <c r="E61" s="17" t="n">
        <v>7151.289</v>
      </c>
      <c r="F61" s="17" t="n">
        <v>3759.5</v>
      </c>
      <c r="G61" s="17" t="n">
        <v>9218.483</v>
      </c>
      <c r="H61" s="17" t="n">
        <v>10293.729</v>
      </c>
      <c r="I61" s="17" t="n">
        <v>15040.585</v>
      </c>
      <c r="J61" s="18" t="inlineStr">
        <is>
          <t>TM 10.1 BCTC HN 2020-2024 &amp; TM 9.1 BCTC HN 2025</t>
        </is>
      </c>
    </row>
    <row r="62" ht="20" customHeight="1">
      <c r="A62" s="11" t="inlineStr">
        <is>
          <t>BCTN</t>
        </is>
      </c>
      <c r="B62" s="12" t="inlineStr">
        <is>
          <t>Hệ số CAR Hợp nhất theo Thông tư 41 / Basel II</t>
        </is>
      </c>
      <c r="C62" s="11" t="inlineStr">
        <is>
          <t>%</t>
        </is>
      </c>
      <c r="D62" s="20" t="n">
        <v>0.1042</v>
      </c>
      <c r="E62" s="20" t="n">
        <v>0.1128</v>
      </c>
      <c r="F62" s="20" t="n">
        <v>0.1153</v>
      </c>
      <c r="G62" s="20" t="n">
        <v>0.1075</v>
      </c>
      <c r="H62" s="20" t="n">
        <v>0.118</v>
      </c>
      <c r="I62" s="20" t="n">
        <v>0.11</v>
      </c>
      <c r="J62" s="14" t="inlineStr">
        <is>
          <t>BCTN MB 2020 (tr.26), 2021 (tr.34), 2022 (tr.29), 2023 (tr.25), 2024 (tr.35), 2025 (tr.29)</t>
        </is>
      </c>
    </row>
    <row r="63" ht="20" customHeight="1">
      <c r="A63" s="15" t="inlineStr">
        <is>
          <t>BCTN</t>
        </is>
      </c>
      <c r="B63" s="16" t="inlineStr">
        <is>
          <t>Dư nợ cơ cấu giữ nguyên nhóm nợ xác nhận từ BCTN (TT 01/03/14 &amp; TT 02)</t>
        </is>
      </c>
      <c r="C63" s="15" t="inlineStr">
        <is>
          <t>tỷ</t>
        </is>
      </c>
      <c r="D63" s="17" t="n"/>
      <c r="E63" s="17" t="n">
        <v>612</v>
      </c>
      <c r="F63" s="17" t="n">
        <v>0</v>
      </c>
      <c r="G63" s="17" t="n"/>
      <c r="H63" s="17" t="n">
        <v>0</v>
      </c>
      <c r="I63" s="17" t="n">
        <v>0</v>
      </c>
      <c r="J63" s="18" t="inlineStr">
        <is>
          <t>BCTN 2021 (tr.41): dư nợ cơ cấu Covid cuối 2021 còn 612 tỷ (đã trích 100% DP); các năm 2020, 2023 không công bố số dư tuyệt đối trên BCTC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THUYẾT MINH DƯ NỢ CHO VAY THEO NGÀNH KINH TẾ – MBBANK HỢP NHẤT (2020–2025)</t>
        </is>
      </c>
    </row>
    <row r="2">
      <c r="A2" s="2" t="inlineStr">
        <is>
          <t>Nguồn: Thuyết minh 10.4 (2020–2024) &amp; Thuyết minh 9.4 (2025) BCTC Hợp nhất Kiểm toán MBBank (Đơn vị: Tỷ đồng &amp; Tỷ trọng %)</t>
        </is>
      </c>
    </row>
    <row r="4" ht="25" customHeight="1">
      <c r="A4" s="3" t="inlineStr">
        <is>
          <t>STT</t>
        </is>
      </c>
      <c r="B4" s="4" t="inlineStr">
        <is>
          <t>Ngành kinh tế / Đối tượng vay (TM 9/10 BCTC Hợp nhất)</t>
        </is>
      </c>
      <c r="C4" s="3" t="inlineStr">
        <is>
          <t>2020 (Tỷ)</t>
        </is>
      </c>
      <c r="D4" s="3" t="inlineStr">
        <is>
          <t>2021 (Tỷ)</t>
        </is>
      </c>
      <c r="E4" s="3" t="inlineStr">
        <is>
          <t>2022 (Tỷ)</t>
        </is>
      </c>
      <c r="F4" s="3" t="inlineStr">
        <is>
          <t>2023 (Tỷ)</t>
        </is>
      </c>
      <c r="G4" s="3" t="inlineStr">
        <is>
          <t>2024 (Tỷ)</t>
        </is>
      </c>
      <c r="H4" s="3" t="inlineStr">
        <is>
          <t>2025 (Tỷ)</t>
        </is>
      </c>
      <c r="I4" s="3" t="inlineStr">
        <is>
          <t>Tỷ trọng 2020</t>
        </is>
      </c>
      <c r="J4" s="3" t="inlineStr">
        <is>
          <t>Tỷ trọng 2025</t>
        </is>
      </c>
    </row>
    <row r="5">
      <c r="A5" s="29" t="n">
        <v>1</v>
      </c>
      <c r="B5" s="30" t="inlineStr">
        <is>
          <t>Nông, lâm nghiệp và thủy sản</t>
        </is>
      </c>
      <c r="C5" s="31" t="n">
        <v>3217.038</v>
      </c>
      <c r="D5" s="31" t="n">
        <v>3506.228</v>
      </c>
      <c r="E5" s="31" t="n">
        <v>4559.921</v>
      </c>
      <c r="F5" s="31" t="n">
        <v>6234.49</v>
      </c>
      <c r="G5" s="31" t="n">
        <v>8724.853999999999</v>
      </c>
      <c r="H5" s="31" t="n">
        <v>10777.589</v>
      </c>
      <c r="I5" s="32">
        <f>C5/$C$26</f>
        <v/>
      </c>
      <c r="J5" s="32">
        <f>H5/$H$26</f>
        <v/>
      </c>
    </row>
    <row r="6">
      <c r="A6" s="29" t="n">
        <v>2</v>
      </c>
      <c r="B6" s="30" t="inlineStr">
        <is>
          <t>Khai khoáng</t>
        </is>
      </c>
      <c r="C6" s="31" t="n">
        <v>3987.481</v>
      </c>
      <c r="D6" s="31" t="n">
        <v>2980.179</v>
      </c>
      <c r="E6" s="31" t="n">
        <v>2969.396</v>
      </c>
      <c r="F6" s="31" t="n">
        <v>3178.276</v>
      </c>
      <c r="G6" s="31" t="n">
        <v>3975.824</v>
      </c>
      <c r="H6" s="31" t="n">
        <v>6775.371</v>
      </c>
      <c r="I6" s="32">
        <f>C6/$C$26</f>
        <v/>
      </c>
      <c r="J6" s="32">
        <f>H6/$H$26</f>
        <v/>
      </c>
    </row>
    <row r="7">
      <c r="A7" s="25" t="n">
        <v>3</v>
      </c>
      <c r="B7" s="26" t="inlineStr">
        <is>
          <t>Công nghiệp chế biến, chế tạo</t>
        </is>
      </c>
      <c r="C7" s="27" t="n">
        <v>45483.439</v>
      </c>
      <c r="D7" s="27" t="n">
        <v>53107.96</v>
      </c>
      <c r="E7" s="27" t="n">
        <v>71318.239</v>
      </c>
      <c r="F7" s="27" t="n">
        <v>98521.149</v>
      </c>
      <c r="G7" s="27" t="n">
        <v>124040.94</v>
      </c>
      <c r="H7" s="27" t="n">
        <v>178930.964</v>
      </c>
      <c r="I7" s="28">
        <f>C7/$C$26</f>
        <v/>
      </c>
      <c r="J7" s="28">
        <f>H7/$H$26</f>
        <v/>
      </c>
    </row>
    <row r="8">
      <c r="A8" s="29" t="n">
        <v>4</v>
      </c>
      <c r="B8" s="30" t="inlineStr">
        <is>
          <t>Sản xuất và phân phối điện, khí đốt, nước nóng</t>
        </is>
      </c>
      <c r="C8" s="31" t="n">
        <v>19633.3</v>
      </c>
      <c r="D8" s="31" t="n">
        <v>30741.006</v>
      </c>
      <c r="E8" s="31" t="n">
        <v>31922.949</v>
      </c>
      <c r="F8" s="31" t="n">
        <v>41237.247</v>
      </c>
      <c r="G8" s="31" t="n">
        <v>46125.259</v>
      </c>
      <c r="H8" s="31" t="n">
        <v>50676.721</v>
      </c>
      <c r="I8" s="32">
        <f>C8/$C$26</f>
        <v/>
      </c>
      <c r="J8" s="32">
        <f>H8/$H$26</f>
        <v/>
      </c>
    </row>
    <row r="9">
      <c r="A9" s="29" t="n">
        <v>5</v>
      </c>
      <c r="B9" s="30" t="inlineStr">
        <is>
          <t>Cung cấp nước, quản lý và xử lý rác thải, nước thải</t>
        </is>
      </c>
      <c r="C9" s="31" t="n">
        <v>739.723</v>
      </c>
      <c r="D9" s="31" t="n">
        <v>676.925</v>
      </c>
      <c r="E9" s="31" t="n">
        <v>762.237</v>
      </c>
      <c r="F9" s="31" t="n">
        <v>1075.745</v>
      </c>
      <c r="G9" s="31" t="n">
        <v>1267.073</v>
      </c>
      <c r="H9" s="31" t="n">
        <v>1585.206</v>
      </c>
      <c r="I9" s="32">
        <f>C9/$C$26</f>
        <v/>
      </c>
      <c r="J9" s="32">
        <f>H9/$H$26</f>
        <v/>
      </c>
    </row>
    <row r="10">
      <c r="A10" s="25" t="n">
        <v>6</v>
      </c>
      <c r="B10" s="26" t="inlineStr">
        <is>
          <t>Xây dựng</t>
        </is>
      </c>
      <c r="C10" s="27" t="n">
        <v>18157.881</v>
      </c>
      <c r="D10" s="27" t="n">
        <v>22523.216</v>
      </c>
      <c r="E10" s="27" t="n">
        <v>26445.868</v>
      </c>
      <c r="F10" s="27" t="n">
        <v>28700.45</v>
      </c>
      <c r="G10" s="27" t="n">
        <v>31917.958</v>
      </c>
      <c r="H10" s="27" t="n">
        <v>45398.649</v>
      </c>
      <c r="I10" s="28">
        <f>C10/$C$26</f>
        <v/>
      </c>
      <c r="J10" s="28">
        <f>H10/$H$26</f>
        <v/>
      </c>
    </row>
    <row r="11">
      <c r="A11" s="25" t="n">
        <v>7</v>
      </c>
      <c r="B11" s="26" t="inlineStr">
        <is>
          <t>Bán buôn, bán lẻ, sửa chữa ô tô, xe máy</t>
        </is>
      </c>
      <c r="C11" s="27" t="n">
        <v>63676.131</v>
      </c>
      <c r="D11" s="27" t="n">
        <v>81361.73699999999</v>
      </c>
      <c r="E11" s="27" t="n">
        <v>114651.78</v>
      </c>
      <c r="F11" s="27" t="n">
        <v>165406.488</v>
      </c>
      <c r="G11" s="27" t="n">
        <v>222846.289</v>
      </c>
      <c r="H11" s="27" t="n">
        <v>297131.413</v>
      </c>
      <c r="I11" s="28">
        <f>C11/$C$26</f>
        <v/>
      </c>
      <c r="J11" s="28">
        <f>H11/$H$26</f>
        <v/>
      </c>
    </row>
    <row r="12">
      <c r="A12" s="29" t="n">
        <v>8</v>
      </c>
      <c r="B12" s="30" t="inlineStr">
        <is>
          <t>Vận tải kho bãi</t>
        </is>
      </c>
      <c r="C12" s="31" t="n">
        <v>7850.007</v>
      </c>
      <c r="D12" s="31" t="n">
        <v>6364.695</v>
      </c>
      <c r="E12" s="31" t="n">
        <v>8216.403</v>
      </c>
      <c r="F12" s="31" t="n">
        <v>16132.904</v>
      </c>
      <c r="G12" s="31" t="n">
        <v>25762.468</v>
      </c>
      <c r="H12" s="31" t="n">
        <v>29961.714</v>
      </c>
      <c r="I12" s="32">
        <f>C12/$C$26</f>
        <v/>
      </c>
      <c r="J12" s="32">
        <f>H12/$H$26</f>
        <v/>
      </c>
    </row>
    <row r="13">
      <c r="A13" s="29" t="n">
        <v>9</v>
      </c>
      <c r="B13" s="30" t="inlineStr">
        <is>
          <t>Dịch vụ lưu trú, ăn uống</t>
        </is>
      </c>
      <c r="C13" s="31" t="n">
        <v>8658.188</v>
      </c>
      <c r="D13" s="31" t="n">
        <v>9021.897000000001</v>
      </c>
      <c r="E13" s="31" t="n">
        <v>10825.513</v>
      </c>
      <c r="F13" s="31" t="n">
        <v>11570.229</v>
      </c>
      <c r="G13" s="31" t="n">
        <v>16057.822</v>
      </c>
      <c r="H13" s="31" t="n">
        <v>20003.667</v>
      </c>
      <c r="I13" s="32">
        <f>C13/$C$26</f>
        <v/>
      </c>
      <c r="J13" s="32">
        <f>H13/$H$26</f>
        <v/>
      </c>
    </row>
    <row r="14">
      <c r="A14" s="29" t="n">
        <v>10</v>
      </c>
      <c r="B14" s="30" t="inlineStr">
        <is>
          <t>Thông tin và truyền thông</t>
        </is>
      </c>
      <c r="C14" s="31" t="n">
        <v>1605.415</v>
      </c>
      <c r="D14" s="31" t="n">
        <v>1861.184</v>
      </c>
      <c r="E14" s="31" t="n">
        <v>2371.359</v>
      </c>
      <c r="F14" s="31" t="n">
        <v>3309.515</v>
      </c>
      <c r="G14" s="31" t="n">
        <v>7100.447</v>
      </c>
      <c r="H14" s="31" t="n">
        <v>9807.941999999999</v>
      </c>
      <c r="I14" s="32">
        <f>C14/$C$26</f>
        <v/>
      </c>
      <c r="J14" s="32">
        <f>H14/$H$26</f>
        <v/>
      </c>
    </row>
    <row r="15">
      <c r="A15" s="29" t="n">
        <v>11</v>
      </c>
      <c r="B15" s="30" t="inlineStr">
        <is>
          <t>Hoạt động tài chính, ngân hàng, bảo hiểm</t>
        </is>
      </c>
      <c r="C15" s="31" t="n">
        <v>1121.837</v>
      </c>
      <c r="D15" s="31" t="n">
        <v>2439.625</v>
      </c>
      <c r="E15" s="31" t="n">
        <v>274.407</v>
      </c>
      <c r="F15" s="31" t="n">
        <v>1499.841</v>
      </c>
      <c r="G15" s="31" t="n">
        <v>7697.847</v>
      </c>
      <c r="H15" s="31" t="n">
        <v>30446.431</v>
      </c>
      <c r="I15" s="32">
        <f>C15/$C$26</f>
        <v/>
      </c>
      <c r="J15" s="32">
        <f>H15/$H$26</f>
        <v/>
      </c>
    </row>
    <row r="16">
      <c r="A16" s="25" t="n">
        <v>12</v>
      </c>
      <c r="B16" s="26" t="inlineStr">
        <is>
          <t>Hoạt động kinh doanh bất động sản</t>
        </is>
      </c>
      <c r="C16" s="27" t="n">
        <v>9395.156999999999</v>
      </c>
      <c r="D16" s="27" t="n">
        <v>12632.155</v>
      </c>
      <c r="E16" s="27" t="n">
        <v>21357.811</v>
      </c>
      <c r="F16" s="27" t="n">
        <v>43268.446</v>
      </c>
      <c r="G16" s="27" t="n">
        <v>64141.215</v>
      </c>
      <c r="H16" s="27" t="n">
        <v>121188.714</v>
      </c>
      <c r="I16" s="28">
        <f>C16/$C$26</f>
        <v/>
      </c>
      <c r="J16" s="28">
        <f>H16/$H$26</f>
        <v/>
      </c>
    </row>
    <row r="17">
      <c r="A17" s="29" t="n">
        <v>13</v>
      </c>
      <c r="B17" s="30" t="inlineStr">
        <is>
          <t>Chuyên môn, khoa học và công nghệ</t>
        </is>
      </c>
      <c r="C17" s="31" t="n">
        <v>437.012</v>
      </c>
      <c r="D17" s="31" t="n">
        <v>519.234</v>
      </c>
      <c r="E17" s="31" t="n">
        <v>499.184</v>
      </c>
      <c r="F17" s="31" t="n">
        <v>575.417</v>
      </c>
      <c r="G17" s="31" t="n">
        <v>668.318</v>
      </c>
      <c r="H17" s="31" t="n">
        <v>1381.276</v>
      </c>
      <c r="I17" s="32">
        <f>C17/$C$26</f>
        <v/>
      </c>
      <c r="J17" s="32">
        <f>H17/$H$26</f>
        <v/>
      </c>
    </row>
    <row r="18">
      <c r="A18" s="29" t="n">
        <v>14</v>
      </c>
      <c r="B18" s="30" t="inlineStr">
        <is>
          <t>Hoạt động hành chính và dịch vụ hỗ trợ</t>
        </is>
      </c>
      <c r="C18" s="31" t="n">
        <v>421.668</v>
      </c>
      <c r="D18" s="31" t="n">
        <v>435.207</v>
      </c>
      <c r="E18" s="31" t="n">
        <v>640.479</v>
      </c>
      <c r="F18" s="31" t="n">
        <v>924.125</v>
      </c>
      <c r="G18" s="31" t="n">
        <v>1905.606</v>
      </c>
      <c r="H18" s="31" t="n">
        <v>3409.076</v>
      </c>
      <c r="I18" s="32">
        <f>C18/$C$26</f>
        <v/>
      </c>
      <c r="J18" s="32">
        <f>H18/$H$26</f>
        <v/>
      </c>
    </row>
    <row r="19">
      <c r="A19" s="29" t="n">
        <v>15</v>
      </c>
      <c r="B19" s="30" t="inlineStr">
        <is>
          <t>Giáo dục và đào tạo</t>
        </is>
      </c>
      <c r="C19" s="31" t="n">
        <v>907.843</v>
      </c>
      <c r="D19" s="31" t="n">
        <v>534.63</v>
      </c>
      <c r="E19" s="31" t="n">
        <v>895.429</v>
      </c>
      <c r="F19" s="31" t="n">
        <v>1307.008</v>
      </c>
      <c r="G19" s="31" t="n">
        <v>1791.148</v>
      </c>
      <c r="H19" s="31" t="n">
        <v>2583.338</v>
      </c>
      <c r="I19" s="32">
        <f>C19/$C$26</f>
        <v/>
      </c>
      <c r="J19" s="32">
        <f>H19/$H$26</f>
        <v/>
      </c>
    </row>
    <row r="20">
      <c r="A20" s="29" t="n">
        <v>16</v>
      </c>
      <c r="B20" s="30" t="inlineStr">
        <is>
          <t>Y tế và hoạt động trợ giúp xã hội</t>
        </is>
      </c>
      <c r="C20" s="31" t="n">
        <v>2539.758</v>
      </c>
      <c r="D20" s="31" t="n">
        <v>3199.312</v>
      </c>
      <c r="E20" s="31" t="n">
        <v>3639.05</v>
      </c>
      <c r="F20" s="31" t="n">
        <v>4607.913</v>
      </c>
      <c r="G20" s="31" t="n">
        <v>5535.906</v>
      </c>
      <c r="H20" s="31" t="n">
        <v>7888.432</v>
      </c>
      <c r="I20" s="32">
        <f>C20/$C$26</f>
        <v/>
      </c>
      <c r="J20" s="32">
        <f>H20/$H$26</f>
        <v/>
      </c>
    </row>
    <row r="21">
      <c r="A21" s="29" t="n">
        <v>17</v>
      </c>
      <c r="B21" s="30" t="inlineStr">
        <is>
          <t>Nghệ thuật, vui chơi, giải trí</t>
        </is>
      </c>
      <c r="C21" s="31" t="n">
        <v>3438.418</v>
      </c>
      <c r="D21" s="31" t="n">
        <v>3007.047</v>
      </c>
      <c r="E21" s="31" t="n">
        <v>2466.786</v>
      </c>
      <c r="F21" s="31" t="n">
        <v>2659.628</v>
      </c>
      <c r="G21" s="31" t="n">
        <v>2395.96</v>
      </c>
      <c r="H21" s="31" t="n">
        <v>1708.707</v>
      </c>
      <c r="I21" s="32">
        <f>C21/$C$26</f>
        <v/>
      </c>
      <c r="J21" s="32">
        <f>H21/$H$26</f>
        <v/>
      </c>
    </row>
    <row r="22">
      <c r="A22" s="29" t="n">
        <v>18</v>
      </c>
      <c r="B22" s="30" t="inlineStr">
        <is>
          <t>Hoạt động dịch vụ khác</t>
        </is>
      </c>
      <c r="C22" s="31" t="n">
        <v>67.73999999999999</v>
      </c>
      <c r="D22" s="31" t="n">
        <v>148.658</v>
      </c>
      <c r="E22" s="31" t="n">
        <v>160.567</v>
      </c>
      <c r="F22" s="31" t="n">
        <v>242.7</v>
      </c>
      <c r="G22" s="31" t="n">
        <v>533.019</v>
      </c>
      <c r="H22" s="31" t="n">
        <v>820.53</v>
      </c>
      <c r="I22" s="32">
        <f>C22/$C$26</f>
        <v/>
      </c>
      <c r="J22" s="32">
        <f>H22/$H$26</f>
        <v/>
      </c>
    </row>
    <row r="23">
      <c r="A23" s="25" t="n">
        <v>19</v>
      </c>
      <c r="B23" s="26" t="inlineStr">
        <is>
          <t>Hoạt động làm thuê hộ gia đình (gồm MCredit)</t>
        </is>
      </c>
      <c r="C23" s="27" t="n">
        <v>99491.355</v>
      </c>
      <c r="D23" s="27" t="n">
        <v>118584.165</v>
      </c>
      <c r="E23" s="27" t="n">
        <v>150444.509</v>
      </c>
      <c r="F23" s="27" t="n">
        <v>168012.507</v>
      </c>
      <c r="G23" s="27" t="n">
        <v>186581.816</v>
      </c>
      <c r="H23" s="27" t="n">
        <v>239172.416</v>
      </c>
      <c r="I23" s="28">
        <f>C23/$C$26</f>
        <v/>
      </c>
      <c r="J23" s="28">
        <f>H23/$H$26</f>
        <v/>
      </c>
    </row>
    <row r="24">
      <c r="A24" s="29" t="n">
        <v>20</v>
      </c>
      <c r="B24" s="30" t="inlineStr">
        <is>
          <t>Cho vay tại chi nhánh và ngân hàng con nước ngoài (MBCambodia)</t>
        </is>
      </c>
      <c r="C24" s="31" t="n">
        <v>3344.252</v>
      </c>
      <c r="D24" s="31" t="n">
        <v>2758.429</v>
      </c>
      <c r="E24" s="31" t="n">
        <v>2393.095</v>
      </c>
      <c r="F24" s="31" t="n">
        <v>3366.269</v>
      </c>
      <c r="G24" s="31" t="n">
        <v>7294.348</v>
      </c>
      <c r="H24" s="31" t="n">
        <v>9330.629000000001</v>
      </c>
      <c r="I24" s="32">
        <f>C24/$C$26</f>
        <v/>
      </c>
      <c r="J24" s="32">
        <f>H24/$H$26</f>
        <v/>
      </c>
    </row>
    <row r="25">
      <c r="A25" s="25" t="n">
        <v>21</v>
      </c>
      <c r="B25" s="26" t="inlineStr">
        <is>
          <t>Cho vay giao dịch ký quỹ &amp; ứng trước (MBS)</t>
        </is>
      </c>
      <c r="C25" s="27" t="n">
        <v>4123.34</v>
      </c>
      <c r="D25" s="27" t="n">
        <v>7151.289</v>
      </c>
      <c r="E25" s="27" t="n">
        <v>3759.5</v>
      </c>
      <c r="F25" s="27" t="n">
        <v>9218.483</v>
      </c>
      <c r="G25" s="27" t="n">
        <v>10293.729</v>
      </c>
      <c r="H25" s="27" t="n">
        <v>15040.585</v>
      </c>
      <c r="I25" s="28">
        <f>C25/$C$26</f>
        <v/>
      </c>
      <c r="J25" s="28">
        <f>H25/$H$26</f>
        <v/>
      </c>
    </row>
    <row r="26">
      <c r="A26" s="33" t="inlineStr"/>
      <c r="B26" s="33" t="inlineStr">
        <is>
          <t>TỔNG DƯ NỢ CHO VAY KHÁCH HÀNG HỢP NHẤT</t>
        </is>
      </c>
      <c r="C26" s="34">
        <f>SUM(C5:C25)</f>
        <v/>
      </c>
      <c r="D26" s="34">
        <f>SUM(D5:D25)</f>
        <v/>
      </c>
      <c r="E26" s="34">
        <f>SUM(E5:E25)</f>
        <v/>
      </c>
      <c r="F26" s="34">
        <f>SUM(F5:F25)</f>
        <v/>
      </c>
      <c r="G26" s="34">
        <f>SUM(G5:G25)</f>
        <v/>
      </c>
      <c r="H26" s="34">
        <f>SUM(H5:H25)</f>
        <v/>
      </c>
      <c r="I26" s="35">
        <f>SUM(I5:I25)</f>
        <v/>
      </c>
      <c r="J26" s="35">
        <f>SUM(J5:J25)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2026-10-27T16:11:19Z</dcterms:created>
  <dcterms:modified xmlns:dcterms="http://purl.org/dc/terms/" xmlns:xsi="http://www.w3.org/2001/XMLSchema-instance" xsi:type="dcterms:W3CDTF">2026-10-27T23:50:54Z</dcterms:modified>
</cp:coreProperties>
</file>