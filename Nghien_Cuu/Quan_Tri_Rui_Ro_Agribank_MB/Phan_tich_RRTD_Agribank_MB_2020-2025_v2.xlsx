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iem_chung" sheetId="1" state="visible" r:id="rId1"/>
    <sheet xmlns:r="http://schemas.openxmlformats.org/officeDocument/2006/relationships" name="Theo_doi" sheetId="2" state="visible" r:id="rId2"/>
    <sheet xmlns:r="http://schemas.openxmlformats.org/officeDocument/2006/relationships" name="Du_lieu" sheetId="3" state="visible" r:id="rId3"/>
    <sheet xmlns:r="http://schemas.openxmlformats.org/officeDocument/2006/relationships" name="Chi_tieu" sheetId="4" state="visible" r:id="rId4"/>
    <sheet xmlns:r="http://schemas.openxmlformats.org/officeDocument/2006/relationships" name="Nguon" sheetId="5" state="visible" r:id="rId5"/>
    <sheet xmlns:r="http://schemas.openxmlformats.org/officeDocument/2006/relationships" name="Stress_Testing" sheetId="6" state="visible" r:id="rId6"/>
    <sheet xmlns:r="http://schemas.openxmlformats.org/officeDocument/2006/relationships" name="IFRS9_Simulation"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3">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b val="1"/>
      <color rgb="FFFFFFFF"/>
      <sz val="11"/>
    </font>
    <font>
      <name val="Cambria"/>
      <charset val="1"/>
      <family val="0"/>
      <b val="1"/>
      <sz val="11"/>
    </font>
    <font>
      <name val="Arial"/>
      <charset val="1"/>
      <family val="0"/>
      <b val="1"/>
      <sz val="12"/>
    </font>
    <font>
      <name val="Arial"/>
      <charset val="1"/>
      <family val="0"/>
      <i val="1"/>
      <sz val="9"/>
    </font>
    <font>
      <name val="Arial"/>
      <charset val="1"/>
      <family val="0"/>
      <b val="1"/>
      <color rgb="FFFFFFFF"/>
      <sz val="10"/>
    </font>
    <font>
      <name val="Arial"/>
      <charset val="1"/>
      <family val="0"/>
      <sz val="10"/>
    </font>
    <font>
      <name val="Arial"/>
      <charset val="1"/>
      <family val="0"/>
      <color rgb="FF000000"/>
      <sz val="10"/>
    </font>
    <font>
      <name val="Arial"/>
      <charset val="1"/>
      <family val="0"/>
      <b val="1"/>
      <sz val="10"/>
    </font>
    <font>
      <name val="Arial"/>
      <charset val="1"/>
      <family val="0"/>
      <color rgb="FF0000FF"/>
      <sz val="10"/>
    </font>
    <font>
      <name val="Calibri"/>
      <family val="2"/>
      <b val="1"/>
      <color rgb="FF000000"/>
      <sz val="18"/>
    </font>
    <font>
      <name val="Calibri"/>
      <family val="2"/>
      <color rgb="FF000000"/>
      <sz val="10"/>
    </font>
    <font>
      <name val="Arial"/>
      <charset val="1"/>
      <family val="0"/>
      <b val="1"/>
      <sz val="11"/>
    </font>
    <font>
      <name val="Calibri"/>
      <b val="1"/>
      <color rgb="001B365D"/>
      <sz val="14"/>
    </font>
    <font>
      <name val="Calibri"/>
      <i val="1"/>
      <color rgb="00555555"/>
      <sz val="10"/>
    </font>
    <font>
      <name val="Calibri"/>
      <b val="1"/>
      <color rgb="00FFFFFF"/>
      <sz val="11"/>
    </font>
    <font>
      <name val="Calibri"/>
      <b val="1"/>
      <sz val="10"/>
    </font>
    <font>
      <name val="Calibri"/>
      <sz val="10"/>
    </font>
    <font>
      <name val="Calibri"/>
      <i val="1"/>
      <color rgb="00555555"/>
      <sz val="9"/>
    </font>
  </fonts>
  <fills count="12">
    <fill>
      <patternFill/>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
      <patternFill patternType="solid">
        <fgColor rgb="FFD9E2F3"/>
        <bgColor rgb="FFD9D9D9"/>
      </patternFill>
    </fill>
    <fill>
      <patternFill patternType="solid">
        <fgColor rgb="FFE2EFDA"/>
        <bgColor rgb="FFD9E2F3"/>
      </patternFill>
    </fill>
    <fill>
      <patternFill patternType="solid">
        <fgColor rgb="001B365D"/>
        <bgColor rgb="001B365D"/>
      </patternFill>
    </fill>
    <fill>
      <patternFill patternType="solid">
        <fgColor rgb="00335C8D"/>
        <bgColor rgb="00335C8D"/>
      </patternFill>
    </fill>
    <fill>
      <patternFill patternType="solid">
        <fgColor rgb="00EBF1DE"/>
        <bgColor rgb="00EBF1DE"/>
      </patternFill>
    </fill>
    <fill>
      <patternFill patternType="solid">
        <fgColor rgb="00FDE9D9"/>
        <bgColor rgb="00FDE9D9"/>
      </patternFill>
    </fill>
    <fill>
      <patternFill patternType="solid">
        <fgColor rgb="00DCE6F1"/>
        <bgColor rgb="00DCE6F1"/>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D9D9D9"/>
      </left>
      <right style="thin">
        <color rgb="00D9D9D9"/>
      </right>
      <top style="thin">
        <color rgb="00D9D9D9"/>
      </top>
      <bottom style="thin">
        <color rgb="00D9D9D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9" fillId="2" borderId="1" applyAlignment="1" pivotButton="0" quotePrefix="0" xfId="0">
      <alignment horizontal="center" vertical="bottom" wrapText="1"/>
    </xf>
    <xf numFmtId="0" fontId="10"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0" borderId="1" applyAlignment="1" pivotButton="0" quotePrefix="0" xfId="0">
      <alignment horizontal="general" vertical="top" wrapText="1"/>
    </xf>
    <xf numFmtId="0" fontId="11" fillId="4" borderId="1" applyAlignment="1" pivotButton="0" quotePrefix="0" xfId="0">
      <alignment horizontal="general" vertical="top" wrapText="1"/>
    </xf>
    <xf numFmtId="0" fontId="12" fillId="0" borderId="0" applyAlignment="1" pivotButton="0" quotePrefix="0" xfId="0">
      <alignment horizontal="general" vertical="bottom"/>
    </xf>
    <xf numFmtId="0" fontId="10" fillId="0" borderId="0" applyAlignment="1" pivotButton="0" quotePrefix="0" xfId="0">
      <alignment horizontal="general" vertical="bottom"/>
    </xf>
    <xf numFmtId="0" fontId="9" fillId="2" borderId="1" applyAlignment="1" pivotButton="0" quotePrefix="0" xfId="0">
      <alignment horizontal="center" vertical="center" wrapText="1"/>
    </xf>
    <xf numFmtId="0" fontId="12" fillId="5" borderId="0" applyAlignment="1" pivotButton="0" quotePrefix="0" xfId="0">
      <alignment horizontal="general" vertical="bottom"/>
    </xf>
    <xf numFmtId="0" fontId="0" fillId="5" borderId="0" applyAlignment="1" pivotButton="0" quotePrefix="0" xfId="0">
      <alignment horizontal="general" vertical="bottom"/>
    </xf>
    <xf numFmtId="0" fontId="10" fillId="0" borderId="0" applyAlignment="1" pivotButton="0" quotePrefix="0" xfId="0">
      <alignment horizontal="general" vertical="top" wrapText="1"/>
    </xf>
    <xf numFmtId="3" fontId="13" fillId="0" borderId="1" applyAlignment="1" pivotButton="0" quotePrefix="0" xfId="0">
      <alignment horizontal="general" vertical="top" wrapText="1"/>
    </xf>
    <xf numFmtId="10" fontId="13" fillId="6" borderId="1" applyAlignment="1" pivotButton="0" quotePrefix="0" xfId="0">
      <alignment horizontal="general" vertical="top" wrapText="1"/>
    </xf>
    <xf numFmtId="3" fontId="10" fillId="0" borderId="1" applyAlignment="1" pivotButton="0" quotePrefix="0" xfId="0">
      <alignment horizontal="general" vertical="top" wrapText="1"/>
    </xf>
    <xf numFmtId="10" fontId="13" fillId="0" borderId="1" applyAlignment="1" pivotButton="0" quotePrefix="0" xfId="0">
      <alignment horizontal="general" vertical="top" wrapText="1"/>
    </xf>
    <xf numFmtId="10" fontId="13" fillId="3" borderId="1" applyAlignment="1" pivotButton="0" quotePrefix="0" xfId="0">
      <alignment horizontal="general" vertical="top" wrapText="1"/>
    </xf>
    <xf numFmtId="9" fontId="13" fillId="0" borderId="1" applyAlignment="1" pivotButton="0" quotePrefix="0" xfId="0">
      <alignment horizontal="general" vertical="top" wrapText="1"/>
    </xf>
    <xf numFmtId="10" fontId="0" fillId="6" borderId="1" applyAlignment="1" pivotButton="0" quotePrefix="0" xfId="0">
      <alignment horizontal="general" vertical="top" wrapText="1"/>
    </xf>
    <xf numFmtId="3" fontId="13" fillId="3" borderId="1" applyAlignment="1" pivotButton="0" quotePrefix="0" xfId="0">
      <alignment horizontal="general" vertical="top" wrapText="1"/>
    </xf>
    <xf numFmtId="9" fontId="13" fillId="3" borderId="1" applyAlignment="1" pivotButton="0" quotePrefix="0" xfId="0">
      <alignment horizontal="general" vertical="top" wrapText="1"/>
    </xf>
    <xf numFmtId="10" fontId="0" fillId="3" borderId="1" applyAlignment="1" pivotButton="0" quotePrefix="0" xfId="0">
      <alignment horizontal="general" vertical="top" wrapText="1"/>
    </xf>
    <xf numFmtId="3" fontId="11" fillId="0" borderId="1" applyAlignment="1" pivotButton="0" quotePrefix="0" xfId="0">
      <alignment horizontal="general" vertical="top" wrapText="1"/>
    </xf>
    <xf numFmtId="3" fontId="0" fillId="0" borderId="1" applyAlignment="1" pivotButton="0" quotePrefix="0" xfId="0">
      <alignment horizontal="general" vertical="top" wrapText="1"/>
    </xf>
    <xf numFmtId="0" fontId="9" fillId="2" borderId="1" applyAlignment="1" pivotButton="0" quotePrefix="0" xfId="0">
      <alignment horizontal="center" vertical="bottom"/>
    </xf>
    <xf numFmtId="10" fontId="10" fillId="0" borderId="1" applyAlignment="1" pivotButton="0" quotePrefix="0" xfId="0">
      <alignment horizontal="general" vertical="bottom"/>
    </xf>
    <xf numFmtId="0" fontId="8" fillId="0" borderId="0" applyAlignment="1" pivotButton="0" quotePrefix="0" xfId="0">
      <alignment horizontal="general" vertical="top" wrapText="1"/>
    </xf>
    <xf numFmtId="2" fontId="10" fillId="0" borderId="1" applyAlignment="1" pivotButton="0" quotePrefix="0" xfId="0">
      <alignment horizontal="general" vertical="bottom"/>
    </xf>
    <xf numFmtId="3" fontId="10" fillId="0" borderId="1" applyAlignment="1" pivotButton="0" quotePrefix="0" xfId="0">
      <alignment horizontal="general" vertical="bottom"/>
    </xf>
    <xf numFmtId="10" fontId="11" fillId="0" borderId="1" applyAlignment="1" pivotButton="0" quotePrefix="0" xfId="0">
      <alignment horizontal="general" vertical="bottom"/>
    </xf>
    <xf numFmtId="2" fontId="11" fillId="0" borderId="1" applyAlignment="1" pivotButton="0" quotePrefix="0" xfId="0">
      <alignment horizontal="general" vertical="bottom"/>
    </xf>
    <xf numFmtId="9" fontId="11" fillId="0" borderId="1" applyAlignment="1" pivotButton="0" quotePrefix="0" xfId="0">
      <alignment horizontal="general" vertical="bottom"/>
    </xf>
    <xf numFmtId="9" fontId="10" fillId="0" borderId="1" applyAlignment="1" pivotButton="0" quotePrefix="0" xfId="0">
      <alignment horizontal="general" vertical="bottom"/>
    </xf>
    <xf numFmtId="10" fontId="10" fillId="0" borderId="0" applyAlignment="1" pivotButton="0" quotePrefix="0" xfId="0">
      <alignment horizontal="general" vertical="bottom"/>
    </xf>
    <xf numFmtId="10" fontId="11" fillId="0" borderId="0" applyAlignment="1" pivotButton="0" quotePrefix="0" xfId="0">
      <alignment horizontal="general" vertical="bottom"/>
    </xf>
    <xf numFmtId="0" fontId="16" fillId="0" borderId="0" applyAlignment="1" pivotButton="0" quotePrefix="0" xfId="0">
      <alignment horizontal="general" vertical="bottom"/>
    </xf>
    <xf numFmtId="0" fontId="9" fillId="2" borderId="0" applyAlignment="1" pivotButton="0" quotePrefix="0" xfId="0">
      <alignment horizontal="general" vertical="bottom"/>
    </xf>
    <xf numFmtId="0" fontId="13"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center" vertical="bottom" wrapText="1"/>
    </xf>
    <xf numFmtId="0" fontId="10"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0" borderId="1" applyAlignment="1" pivotButton="0" quotePrefix="0" xfId="0">
      <alignment horizontal="general" vertical="top" wrapText="1"/>
    </xf>
    <xf numFmtId="0" fontId="11" fillId="4" borderId="1" applyAlignment="1" pivotButton="0" quotePrefix="0" xfId="0">
      <alignment horizontal="general" vertical="top" wrapText="1"/>
    </xf>
    <xf numFmtId="0" fontId="12" fillId="0" borderId="0" applyAlignment="1" pivotButton="0" quotePrefix="0" xfId="0">
      <alignment horizontal="general" vertical="bottom"/>
    </xf>
    <xf numFmtId="0" fontId="10" fillId="0" borderId="0" applyAlignment="1" pivotButton="0" quotePrefix="0" xfId="0">
      <alignment horizontal="general" vertical="bottom"/>
    </xf>
    <xf numFmtId="0" fontId="9" fillId="2" borderId="1" applyAlignment="1" pivotButton="0" quotePrefix="0" xfId="0">
      <alignment horizontal="center" vertical="center" wrapText="1"/>
    </xf>
    <xf numFmtId="0" fontId="12" fillId="5" borderId="0" applyAlignment="1" pivotButton="0" quotePrefix="0" xfId="0">
      <alignment horizontal="general" vertical="bottom"/>
    </xf>
    <xf numFmtId="0" fontId="0" fillId="5" borderId="0" applyAlignment="1" pivotButton="0" quotePrefix="0" xfId="0">
      <alignment horizontal="general" vertical="bottom"/>
    </xf>
    <xf numFmtId="0" fontId="10" fillId="0" borderId="0" applyAlignment="1" pivotButton="0" quotePrefix="0" xfId="0">
      <alignment horizontal="general" vertical="top" wrapText="1"/>
    </xf>
    <xf numFmtId="3" fontId="13" fillId="0" borderId="1" applyAlignment="1" pivotButton="0" quotePrefix="0" xfId="0">
      <alignment horizontal="general" vertical="top" wrapText="1"/>
    </xf>
    <xf numFmtId="10" fontId="13" fillId="6" borderId="1" applyAlignment="1" pivotButton="0" quotePrefix="0" xfId="0">
      <alignment horizontal="general" vertical="top" wrapText="1"/>
    </xf>
    <xf numFmtId="3" fontId="10" fillId="0" borderId="1" applyAlignment="1" pivotButton="0" quotePrefix="0" xfId="0">
      <alignment horizontal="general" vertical="top" wrapText="1"/>
    </xf>
    <xf numFmtId="10" fontId="13" fillId="0" borderId="1" applyAlignment="1" pivotButton="0" quotePrefix="0" xfId="0">
      <alignment horizontal="general" vertical="top" wrapText="1"/>
    </xf>
    <xf numFmtId="10" fontId="13" fillId="3" borderId="1" applyAlignment="1" pivotButton="0" quotePrefix="0" xfId="0">
      <alignment horizontal="general" vertical="top" wrapText="1"/>
    </xf>
    <xf numFmtId="9" fontId="13" fillId="0" borderId="1" applyAlignment="1" pivotButton="0" quotePrefix="0" xfId="0">
      <alignment horizontal="general" vertical="top" wrapText="1"/>
    </xf>
    <xf numFmtId="10" fontId="0" fillId="6" borderId="1" applyAlignment="1" pivotButton="0" quotePrefix="0" xfId="0">
      <alignment horizontal="general" vertical="top" wrapText="1"/>
    </xf>
    <xf numFmtId="3" fontId="13" fillId="3" borderId="1" applyAlignment="1" pivotButton="0" quotePrefix="0" xfId="0">
      <alignment horizontal="general" vertical="top" wrapText="1"/>
    </xf>
    <xf numFmtId="9" fontId="13" fillId="3" borderId="1" applyAlignment="1" pivotButton="0" quotePrefix="0" xfId="0">
      <alignment horizontal="general" vertical="top" wrapText="1"/>
    </xf>
    <xf numFmtId="10" fontId="0" fillId="3" borderId="1" applyAlignment="1" pivotButton="0" quotePrefix="0" xfId="0">
      <alignment horizontal="general" vertical="top" wrapText="1"/>
    </xf>
    <xf numFmtId="3" fontId="11" fillId="0" borderId="1" applyAlignment="1" pivotButton="0" quotePrefix="0" xfId="0">
      <alignment horizontal="general" vertical="top" wrapText="1"/>
    </xf>
    <xf numFmtId="3" fontId="0" fillId="0" borderId="1" applyAlignment="1" pivotButton="0" quotePrefix="0" xfId="0">
      <alignment horizontal="general" vertical="top" wrapText="1"/>
    </xf>
    <xf numFmtId="0" fontId="9" fillId="2" borderId="1" applyAlignment="1" pivotButton="0" quotePrefix="0" xfId="0">
      <alignment horizontal="center" vertical="bottom"/>
    </xf>
    <xf numFmtId="10" fontId="10" fillId="0" borderId="1" applyAlignment="1" pivotButton="0" quotePrefix="0" xfId="0">
      <alignment horizontal="general" vertical="bottom"/>
    </xf>
    <xf numFmtId="0" fontId="8" fillId="0" borderId="0" applyAlignment="1" pivotButton="0" quotePrefix="0" xfId="0">
      <alignment horizontal="general" vertical="top" wrapText="1"/>
    </xf>
    <xf numFmtId="2" fontId="10" fillId="0" borderId="1" applyAlignment="1" pivotButton="0" quotePrefix="0" xfId="0">
      <alignment horizontal="general" vertical="bottom"/>
    </xf>
    <xf numFmtId="3" fontId="10" fillId="0" borderId="1" applyAlignment="1" pivotButton="0" quotePrefix="0" xfId="0">
      <alignment horizontal="general" vertical="bottom"/>
    </xf>
    <xf numFmtId="10" fontId="11" fillId="0" borderId="1" applyAlignment="1" pivotButton="0" quotePrefix="0" xfId="0">
      <alignment horizontal="general" vertical="bottom"/>
    </xf>
    <xf numFmtId="2" fontId="11" fillId="0" borderId="1" applyAlignment="1" pivotButton="0" quotePrefix="0" xfId="0">
      <alignment horizontal="general" vertical="bottom"/>
    </xf>
    <xf numFmtId="9" fontId="11" fillId="0" borderId="1" applyAlignment="1" pivotButton="0" quotePrefix="0" xfId="0">
      <alignment horizontal="general" vertical="bottom"/>
    </xf>
    <xf numFmtId="9" fontId="10" fillId="0" borderId="1" applyAlignment="1" pivotButton="0" quotePrefix="0" xfId="0">
      <alignment horizontal="general" vertical="bottom"/>
    </xf>
    <xf numFmtId="0" fontId="19" fillId="7" borderId="0" applyAlignment="1" pivotButton="0" quotePrefix="0" xfId="0">
      <alignment horizontal="general" vertical="top" wrapText="1"/>
    </xf>
    <xf numFmtId="0" fontId="10" fillId="7" borderId="0" applyAlignment="1" pivotButton="0" quotePrefix="0" xfId="0">
      <alignment horizontal="general" vertical="bottom"/>
    </xf>
    <xf numFmtId="10" fontId="10" fillId="7" borderId="1" applyAlignment="1" pivotButton="0" quotePrefix="0" xfId="0">
      <alignment horizontal="general" vertical="bottom"/>
    </xf>
    <xf numFmtId="0" fontId="19" fillId="8" borderId="0" applyAlignment="1" pivotButton="0" quotePrefix="0" xfId="0">
      <alignment horizontal="center" vertical="center"/>
    </xf>
    <xf numFmtId="10" fontId="19" fillId="8" borderId="1" applyAlignment="1" pivotButton="0" quotePrefix="0" xfId="0">
      <alignment horizontal="center" vertical="center"/>
    </xf>
    <xf numFmtId="0" fontId="21" fillId="0" borderId="2" applyAlignment="1" pivotButton="0" quotePrefix="0" xfId="0">
      <alignment horizontal="left" vertical="center"/>
    </xf>
    <xf numFmtId="0" fontId="21" fillId="0" borderId="2" applyAlignment="1" pivotButton="0" quotePrefix="0" xfId="0">
      <alignment horizontal="center" vertical="center"/>
    </xf>
    <xf numFmtId="3" fontId="21" fillId="0" borderId="2" applyAlignment="1" pivotButton="0" quotePrefix="0" xfId="0">
      <alignment horizontal="right" vertical="center"/>
    </xf>
    <xf numFmtId="0" fontId="21" fillId="5" borderId="2" applyAlignment="1" pivotButton="0" quotePrefix="0" xfId="0">
      <alignment horizontal="left" vertical="center"/>
    </xf>
    <xf numFmtId="0" fontId="21" fillId="5" borderId="2" applyAlignment="1" pivotButton="0" quotePrefix="0" xfId="0">
      <alignment horizontal="center" vertical="center"/>
    </xf>
    <xf numFmtId="3" fontId="21" fillId="5" borderId="2" applyAlignment="1" pivotButton="0" quotePrefix="0" xfId="0">
      <alignment horizontal="right" vertical="center"/>
    </xf>
    <xf numFmtId="0" fontId="20" fillId="0" borderId="2" applyAlignment="1" pivotButton="0" quotePrefix="0" xfId="0">
      <alignment horizontal="left" vertical="center"/>
    </xf>
    <xf numFmtId="164" fontId="20" fillId="0" borderId="2" applyAlignment="1" pivotButton="0" quotePrefix="0" xfId="0">
      <alignment horizontal="right" vertical="center"/>
    </xf>
    <xf numFmtId="164" fontId="20" fillId="11" borderId="2" applyAlignment="1" pivotButton="0" quotePrefix="0" xfId="0">
      <alignment horizontal="right" vertical="center"/>
    </xf>
    <xf numFmtId="10" fontId="10" fillId="0" borderId="0" applyAlignment="1" pivotButton="0" quotePrefix="0" xfId="0">
      <alignment horizontal="general" vertical="bottom"/>
    </xf>
    <xf numFmtId="10" fontId="11" fillId="0" borderId="0" applyAlignment="1" pivotButton="0" quotePrefix="0" xfId="0">
      <alignment horizontal="general" vertical="bottom"/>
    </xf>
    <xf numFmtId="0" fontId="16" fillId="0" borderId="0" applyAlignment="1" pivotButton="0" quotePrefix="0" xfId="0">
      <alignment horizontal="general" vertical="bottom"/>
    </xf>
    <xf numFmtId="0" fontId="9" fillId="2" borderId="0" applyAlignment="1" pivotButton="0" quotePrefix="0" xfId="0">
      <alignment horizontal="general" vertical="bottom"/>
    </xf>
    <xf numFmtId="0" fontId="13" fillId="0" borderId="0" applyAlignment="1" pivotButton="0" quotePrefix="0" xfId="0">
      <alignment horizontal="general" vertical="bottom"/>
    </xf>
    <xf numFmtId="0" fontId="17" fillId="0" borderId="0" pivotButton="0" quotePrefix="0" xfId="0"/>
    <xf numFmtId="0" fontId="18" fillId="0" borderId="0" pivotButton="0" quotePrefix="0" xfId="0"/>
    <xf numFmtId="0" fontId="19" fillId="7" borderId="0" pivotButton="0" quotePrefix="0" xfId="0"/>
    <xf numFmtId="0" fontId="0" fillId="7" borderId="0" pivotButton="0" quotePrefix="0" xfId="0"/>
    <xf numFmtId="164" fontId="21" fillId="0" borderId="2" applyAlignment="1" pivotButton="0" quotePrefix="0" xfId="0">
      <alignment horizontal="right" vertical="center"/>
    </xf>
    <xf numFmtId="0" fontId="21" fillId="0" borderId="2" applyAlignment="1" pivotButton="0" quotePrefix="0" xfId="0">
      <alignment horizontal="right" vertical="center"/>
    </xf>
    <xf numFmtId="10" fontId="20" fillId="0" borderId="2" applyAlignment="1" pivotButton="0" quotePrefix="0" xfId="0">
      <alignment horizontal="right" vertical="center"/>
    </xf>
    <xf numFmtId="10" fontId="21" fillId="9" borderId="2" applyAlignment="1" pivotButton="0" quotePrefix="0" xfId="0">
      <alignment horizontal="right" vertical="center"/>
    </xf>
    <xf numFmtId="10" fontId="21" fillId="10" borderId="2" applyAlignment="1" pivotButton="0" quotePrefix="0" xfId="0">
      <alignment horizontal="right" vertical="center"/>
    </xf>
    <xf numFmtId="0" fontId="0" fillId="0" borderId="2" pivotButton="0" quotePrefix="0" xfId="0"/>
    <xf numFmtId="0" fontId="22" fillId="0" borderId="2" applyAlignment="1" pivotButton="0" quotePrefix="0" xfId="0">
      <alignment horizontal="left" vertical="center"/>
    </xf>
    <xf numFmtId="3" fontId="20" fillId="0" borderId="2" applyAlignment="1" pivotButton="0" quotePrefix="0" xfId="0">
      <alignment horizontal="right" vertical="center"/>
    </xf>
    <xf numFmtId="49" fontId="21" fillId="0" borderId="2" applyAlignment="1" pivotButton="0" quotePrefix="0" xfId="0">
      <alignment horizontal="right" vertical="center"/>
    </xf>
    <xf numFmtId="3" fontId="20" fillId="10" borderId="2" applyAlignment="1" pivotButton="0" quotePrefix="0" xfId="0">
      <alignment horizontal="right" vertical="center"/>
    </xf>
    <xf numFmtId="10" fontId="20" fillId="11" borderId="2" applyAlignment="1" pivotButton="0" quotePrefix="0" xfId="0">
      <alignment horizontal="righ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4A7EBB"/>
      <rgbColor rgb="FF33CCCC"/>
      <rgbColor rgb="FF98B855"/>
      <rgbColor rgb="FFFFCC00"/>
      <rgbColor rgb="FFFF9900"/>
      <rgbColor rgb="FFFF6600"/>
      <rgbColor rgb="FF7D5FA0"/>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NPL 2020–2025</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"Agribank (chuỗi chính)"</f>
              <strCache>
                <ptCount val="1"/>
                <pt idx="0">
                  <v>Agribank (chuỗi chính)</v>
                </pt>
              </strCache>
            </strRef>
          </tx>
          <spPr>
            <a:solidFill xmlns:a="http://schemas.openxmlformats.org/drawingml/2006/main">
              <a:srgbClr val="4a7ebb"/>
            </a:solidFill>
            <a:ln xmlns:a="http://schemas.openxmlformats.org/drawingml/2006/main" w="28440">
              <a:solidFill>
                <a:srgbClr val="4a7ebb"/>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r"/>
            <showLegendKey val="0"/>
            <showVal val="0"/>
            <showCatName val="0"/>
            <showSerName val="0"/>
            <showPercent val="0"/>
            <showLeaderLines val="1"/>
          </dLbls>
          <cat>
            <multiLvlStrRef>
              <multiLvlStrCache>
                <lvl>
                  <pt idx="0">
                    <v>2025</v>
                  </pt>
                </lvl>
                <lvl>
                  <pt idx="0">
                    <v>2024</v>
                  </pt>
                </lvl>
                <lvl>
                  <pt idx="0">
                    <v>2023</v>
                  </pt>
                </lvl>
                <lvl>
                  <pt idx="0">
                    <v>2022</v>
                  </pt>
                </lvl>
                <lvl>
                  <pt idx="0">
                    <v>2021</v>
                  </pt>
                </lvl>
                <lvl>
                  <pt idx="0">
                    <v>2020</v>
                  </pt>
                </lvl>
              </multiLvlStrCache>
              <f>Chi_tieu!$C$56:$H$56</f>
            </multiLvlStrRef>
          </cat>
          <val>
            <numRef>
              <f>Chi_tieu!$C$57:$H$57</f>
              <numCache>
                <formatCode>0.00%</formatCode>
                <ptCount val="6"/>
                <pt idx="0">
                  <v>0.0178</v>
                </pt>
                <pt idx="1">
                  <v>0.0178</v>
                </pt>
                <pt idx="2">
                  <v>0.0171</v>
                </pt>
                <pt idx="3">
                  <v>0.0177</v>
                </pt>
                <pt idx="4">
                  <v>0.0158</v>
                </pt>
                <pt idx="5">
                  <v>0.0117</v>
                </pt>
              </numCache>
            </numRef>
          </val>
          <smooth val="1"/>
        </ser>
        <ser>
          <idx val="1"/>
          <order val="1"/>
          <tx>
            <strRef>
              <f>"MB hợp nhất"</f>
              <strCache>
                <ptCount val="1"/>
                <pt idx="0">
                  <v>MB hợp nhất</v>
                </pt>
              </strCache>
            </strRef>
          </tx>
          <spPr>
            <a:solidFill xmlns:a="http://schemas.openxmlformats.org/drawingml/2006/main">
              <a:srgbClr val="be4b48"/>
            </a:solidFill>
            <a:ln xmlns:a="http://schemas.openxmlformats.org/drawingml/2006/main" w="28440">
              <a:solidFill>
                <a:srgbClr val="be4b48"/>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r"/>
            <showLegendKey val="0"/>
            <showVal val="0"/>
            <showCatName val="0"/>
            <showSerName val="0"/>
            <showPercent val="0"/>
            <showLeaderLines val="1"/>
          </dLbls>
          <cat>
            <multiLvlStrRef>
              <multiLvlStrCache>
                <lvl>
                  <pt idx="0">
                    <v>2025</v>
                  </pt>
                </lvl>
                <lvl>
                  <pt idx="0">
                    <v>2024</v>
                  </pt>
                </lvl>
                <lvl>
                  <pt idx="0">
                    <v>2023</v>
                  </pt>
                </lvl>
                <lvl>
                  <pt idx="0">
                    <v>2022</v>
                  </pt>
                </lvl>
                <lvl>
                  <pt idx="0">
                    <v>2021</v>
                  </pt>
                </lvl>
                <lvl>
                  <pt idx="0">
                    <v>2020</v>
                  </pt>
                </lvl>
              </multiLvlStrCache>
              <f>Chi_tieu!$C$56:$H$56</f>
            </multiLvlStrRef>
          </cat>
          <val>
            <numRef>
              <f>Chi_tieu!$C$58:$H$58</f>
              <numCache>
                <formatCode>0.00%</formatCode>
                <ptCount val="6"/>
                <pt idx="0">
                  <v>0.0109</v>
                </pt>
                <pt idx="1">
                  <v>0.008999999999999999</v>
                </pt>
                <pt idx="2">
                  <v>0.0109</v>
                </pt>
                <pt idx="3">
                  <v>0.016</v>
                </pt>
                <pt idx="4">
                  <v>0.0162</v>
                </pt>
                <pt idx="5">
                  <v>0.0129</v>
                </pt>
              </numCache>
            </numRef>
          </val>
          <smooth val="1"/>
        </ser>
        <ser>
          <idx val="2"/>
          <order val="2"/>
          <tx>
            <strRef>
              <f>"MB riêng NH"</f>
              <strCache>
                <ptCount val="1"/>
                <pt idx="0">
                  <v>MB riêng NH</v>
                </pt>
              </strCache>
            </strRef>
          </tx>
          <spPr>
            <a:solidFill xmlns:a="http://schemas.openxmlformats.org/drawingml/2006/main">
              <a:srgbClr val="98b855"/>
            </a:solidFill>
            <a:ln xmlns:a="http://schemas.openxmlformats.org/drawingml/2006/main" w="28440">
              <a:solidFill>
                <a:srgbClr val="98b855"/>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r"/>
            <showLegendKey val="0"/>
            <showVal val="0"/>
            <showCatName val="0"/>
            <showSerName val="0"/>
            <showPercent val="0"/>
            <showLeaderLines val="1"/>
          </dLbls>
          <cat>
            <multiLvlStrRef>
              <multiLvlStrCache>
                <lvl>
                  <pt idx="0">
                    <v>2025</v>
                  </pt>
                </lvl>
                <lvl>
                  <pt idx="0">
                    <v>2024</v>
                  </pt>
                </lvl>
                <lvl>
                  <pt idx="0">
                    <v>2023</v>
                  </pt>
                </lvl>
                <lvl>
                  <pt idx="0">
                    <v>2022</v>
                  </pt>
                </lvl>
                <lvl>
                  <pt idx="0">
                    <v>2021</v>
                  </pt>
                </lvl>
                <lvl>
                  <pt idx="0">
                    <v>2020</v>
                  </pt>
                </lvl>
              </multiLvlStrCache>
              <f>Chi_tieu!$C$56:$H$56</f>
            </multiLvlStrRef>
          </cat>
          <val>
            <numRef>
              <f>Chi_tieu!$C$59:$H$59</f>
              <numCache>
                <formatCode>0.00%</formatCode>
                <ptCount val="6"/>
                <pt idx="0">
                  <v>0.0092</v>
                </pt>
                <pt idx="1">
                  <v>0.0068</v>
                </pt>
                <pt idx="2">
                  <v>0.0083</v>
                </pt>
                <pt idx="3">
                  <v>0.0141</v>
                </pt>
                <pt idx="4">
                  <v>0.014</v>
                </pt>
                <pt idx="5">
                  <v>0.0113</v>
                </pt>
              </numCache>
            </numRef>
          </val>
          <smooth val="1"/>
        </ser>
        <ser>
          <idx val="3"/>
          <order val="3"/>
          <tx>
            <strRef>
              <f>"Hệ thống NHNN"</f>
              <strCache>
                <ptCount val="1"/>
                <pt idx="0">
                  <v>Hệ thống NHNN</v>
                </pt>
              </strCache>
            </strRef>
          </tx>
          <spPr>
            <a:solidFill xmlns:a="http://schemas.openxmlformats.org/drawingml/2006/main">
              <a:srgbClr val="7d5fa0"/>
            </a:solidFill>
            <a:ln xmlns:a="http://schemas.openxmlformats.org/drawingml/2006/main" w="28440">
              <a:solidFill>
                <a:srgbClr val="7d5fa0"/>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r"/>
            <showLegendKey val="0"/>
            <showVal val="0"/>
            <showCatName val="0"/>
            <showSerName val="0"/>
            <showPercent val="0"/>
            <showLeaderLines val="1"/>
          </dLbls>
          <cat>
            <multiLvlStrRef>
              <multiLvlStrCache>
                <lvl>
                  <pt idx="0">
                    <v>2025</v>
                  </pt>
                </lvl>
                <lvl>
                  <pt idx="0">
                    <v>2024</v>
                  </pt>
                </lvl>
                <lvl>
                  <pt idx="0">
                    <v>2023</v>
                  </pt>
                </lvl>
                <lvl>
                  <pt idx="0">
                    <v>2022</v>
                  </pt>
                </lvl>
                <lvl>
                  <pt idx="0">
                    <v>2021</v>
                  </pt>
                </lvl>
                <lvl>
                  <pt idx="0">
                    <v>2020</v>
                  </pt>
                </lvl>
              </multiLvlStrCache>
              <f>Chi_tieu!$C$56:$H$56</f>
            </multiLvlStrRef>
          </cat>
          <val>
            <numRef>
              <f>Chi_tieu!$C$60:$H$60</f>
              <numCache>
                <formatCode>0.00%</formatCode>
                <ptCount val="6"/>
                <pt idx="0">
                  <v>0.0169</v>
                </pt>
                <pt idx="1">
                  <v>0.0149</v>
                </pt>
                <pt idx="2">
                  <v>0.0203</v>
                </pt>
                <pt idx="3">
                  <v>0.0455</v>
                </pt>
                <pt idx="4">
                  <v>0.0435</v>
                </pt>
                <pt idx="5">
                  <v>0.0188</v>
                </pt>
              </numCache>
            </numRef>
          </val>
          <smooth val="1"/>
        </ser>
        <hiLowLines>
          <spPr>
            <a:ln xmlns:a="http://schemas.openxmlformats.org/drawingml/2006/main" w="0">
              <a:noFill/>
              <a:prstDash val="solid"/>
            </a:ln>
          </spPr>
        </hiLowLines>
        <marker val="0"/>
        <axId val="87329894"/>
        <axId val="48151044"/>
      </lineChart>
      <catAx>
        <axId val="87329894"/>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48151044"/>
        <crosses val="autoZero"/>
        <auto val="1"/>
        <lblAlgn val="ctr"/>
        <lblOffset val="100"/>
        <noMultiLvlLbl val="0"/>
      </catAx>
      <valAx>
        <axId val="48151044"/>
        <scaling>
          <orientation val="minMax"/>
        </scaling>
        <delete val="0"/>
        <axPos val="l"/>
        <majorGridlines>
          <spPr>
            <a:ln xmlns:a="http://schemas.openxmlformats.org/drawingml/2006/main" w="9360">
              <a:solidFill>
                <a:srgbClr val="878787"/>
              </a:solidFill>
              <a:prstDash val="solid"/>
              <a:round/>
            </a:ln>
          </spPr>
        </majorGridlines>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87329894"/>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0</colOff>
      <row>60</row>
      <rowOff>174960</rowOff>
    </from>
    <to>
      <col>3</col>
      <colOff>401760</colOff>
      <row>76</row>
      <rowOff>5760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D3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46" min="1" max="1"/>
    <col width="62" customWidth="1" style="46" min="2" max="2"/>
    <col width="34" customWidth="1" style="46" min="3" max="3"/>
    <col width="70" customWidth="1" style="46" min="4" max="4"/>
  </cols>
  <sheetData>
    <row r="1" ht="17.25" customHeight="1" s="47">
      <c r="A1" s="48" t="inlineStr">
        <is>
          <t>KẾT QUẢ ĐỐI CHIẾU SỐ LIỆU – 27/10/2026</t>
        </is>
      </c>
    </row>
    <row r="2" ht="15" customHeight="1" s="47">
      <c r="A2" s="46" t="inlineStr">
        <is>
          <t>Chỉ đánh dấu “đã kiểm chứng” khi mở được nguồn gốc (báo cáo thường niên, báo chí dẫn BCTC). Các ô còn lại xem cột Kiểm chứng ở sheet Du_lieu.</t>
        </is>
      </c>
    </row>
    <row r="4" ht="15" customHeight="1" s="47">
      <c r="A4" s="49" t="inlineStr">
        <is>
          <t>STT</t>
        </is>
      </c>
      <c r="B4" s="49" t="inlineStr">
        <is>
          <t>Số liệu đã kiểm chứng</t>
        </is>
      </c>
      <c r="C4" s="49" t="inlineStr">
        <is>
          <t>Giá trị</t>
        </is>
      </c>
      <c r="D4" s="49" t="inlineStr">
        <is>
          <t>Nguồn</t>
        </is>
      </c>
    </row>
    <row r="5" ht="27.75" customHeight="1" s="47">
      <c r="A5" s="50" t="n">
        <v>1</v>
      </c>
      <c r="B5" s="50" t="inlineStr">
        <is>
          <t>Agribank: dư nợ, NPL, CPDP, LNTT, CAR 2021–2025</t>
        </is>
      </c>
      <c r="C5" s="50" t="inlineStr">
        <is>
          <t>Bảng chỉ tiêu AR 2025</t>
        </is>
      </c>
      <c r="D5" s="50" t="inlineStr">
        <is>
          <t>https://static2.vietstock.vn/data/KHAC/2025/BCTN/VN/Agribank_Baocaothuongnien_2025.pdf</t>
        </is>
      </c>
    </row>
    <row r="6" ht="15" customHeight="1" s="47">
      <c r="A6" s="50" t="n">
        <v>2</v>
      </c>
      <c r="B6" s="50" t="inlineStr">
        <is>
          <t>Agribank: thu hồi nợ đã xử lý 2024, 2025</t>
        </is>
      </c>
      <c r="C6" s="50" t="inlineStr">
        <is>
          <t>11.662; 17.397 tỷ</t>
        </is>
      </c>
      <c r="D6" s="50" t="inlineStr">
        <is>
          <t>AR 2025 (như trên)</t>
        </is>
      </c>
    </row>
    <row r="7" ht="15" customHeight="1" s="47">
      <c r="A7" s="50" t="n">
        <v>3</v>
      </c>
      <c r="B7" s="50" t="inlineStr">
        <is>
          <t>Agribank: NN-NT 2024, 2025</t>
        </is>
      </c>
      <c r="C7" s="50" t="inlineStr">
        <is>
          <t>61,7%; 64,1%</t>
        </is>
      </c>
      <c r="D7" s="50" t="inlineStr">
        <is>
          <t>AR 2025 (như trên)</t>
        </is>
      </c>
    </row>
    <row r="8" ht="27.75" customHeight="1" s="47">
      <c r="A8" s="50" t="n">
        <v>4</v>
      </c>
      <c r="B8" s="50" t="inlineStr">
        <is>
          <t>Agribank 2021: nợ xấu, NPL, LLCR (riêng lẻ)</t>
        </is>
      </c>
      <c r="C8" s="50" t="inlineStr">
        <is>
          <t>24.553 tỷ; 1,87%; khoảng 139%</t>
        </is>
      </c>
      <c r="D8" s="50" t="inlineStr">
        <is>
          <t>https://viettimes.vn/bat-dong-san-the-chap-tai-mot-ngan-hang-vuot-2-trieu-ty-dong-post155948.html</t>
        </is>
      </c>
    </row>
    <row r="9" ht="27.75" customHeight="1" s="47">
      <c r="A9" s="50" t="n">
        <v>5</v>
      </c>
      <c r="B9" s="50" t="inlineStr">
        <is>
          <t>Agribank 2024 hợp nhất: nợ xấu, NPL, LLCR, nhóm 5</t>
        </is>
      </c>
      <c r="C9" s="50" t="inlineStr">
        <is>
          <t>29.009 tỷ; 1,68%; 132%; nhóm 5 +16,2%</t>
        </is>
      </c>
      <c r="D9" s="50" t="inlineStr">
        <is>
          <t>https://baodautu.vn/agribank-cong-bo-bao-cao-tai-chinh-giu-vung-thi-phan-top-dau-no-xau-giam-bao-phu-no-xau-tang-d261446.html</t>
        </is>
      </c>
    </row>
    <row r="10" ht="27.75" customHeight="1" s="47">
      <c r="A10" s="50" t="n">
        <v>6</v>
      </c>
      <c r="B10" s="50" t="inlineStr">
        <is>
          <t>MB 2022–2023: NPL, LLCR, nợ xấu</t>
        </is>
      </c>
      <c r="C10" s="50" t="inlineStr">
        <is>
          <t>1,09%→1,60%; 238%→116,9%; 9.804 tỷ (+94,9%)</t>
        </is>
      </c>
      <c r="D10" s="50" t="inlineStr">
        <is>
          <t>https://www.abs.vn/wp-content/uploads/2024/04/240423-AGM_MBB.pdf</t>
        </is>
      </c>
    </row>
    <row r="11" ht="15" customHeight="1" s="47">
      <c r="A11" s="50" t="n">
        <v>7</v>
      </c>
      <c r="B11" s="50" t="inlineStr">
        <is>
          <t>MB quý I/2023: NPL, LLCR, xóa nợ, TPDN</t>
        </is>
      </c>
      <c r="C11" s="50" t="inlineStr">
        <is>
          <t>1,76%; 138%; 2.171 tỷ; 45.727 tỷ</t>
        </is>
      </c>
      <c r="D11" s="50" t="inlineStr">
        <is>
          <t>https://www.abs.vn/wp-content/uploads/2023/05/230525-MBB-Full-report.pdf</t>
        </is>
      </c>
    </row>
    <row r="12" ht="27.75" customHeight="1" s="47">
      <c r="A12" s="50" t="n">
        <v>8</v>
      </c>
      <c r="B12" s="50" t="inlineStr">
        <is>
          <t>MB quý III/2023: NPL, LLCR</t>
        </is>
      </c>
      <c r="C12" s="50" t="inlineStr">
        <is>
          <t>1,89%; khoảng 122%</t>
        </is>
      </c>
      <c r="D12" s="50" t="inlineStr">
        <is>
          <t>https://doanhnhan.baophapluat.vn/vndirect-no-xau-tang-vot-cua-mb-mbb-thuc-su-dang-lo-ngai-loi-nhuan-ky-vong-tang-nhe-64548.html</t>
        </is>
      </c>
    </row>
    <row r="13" ht="15" customHeight="1" s="47">
      <c r="A13" s="50" t="n">
        <v>9</v>
      </c>
      <c r="B13" s="50" t="inlineStr">
        <is>
          <t>Hệ thống: NPL nội bảng 2020–2023</t>
        </is>
      </c>
      <c r="C13" s="50" t="inlineStr">
        <is>
          <t>1,69%; 1,49%; 2,03%; 4,55%</t>
        </is>
      </c>
      <c r="D13" s="50" t="inlineStr">
        <is>
          <t>NHNN qua baodauthau.vn, vneconomy.vn (xem sheet Nguon [26][27])</t>
        </is>
      </c>
    </row>
    <row r="15" ht="15" customHeight="1" s="47">
      <c r="A15" s="49" t="inlineStr">
        <is>
          <t>STT</t>
        </is>
      </c>
      <c r="B15" s="49" t="inlineStr">
        <is>
          <t>Sai sót đã sửa trong file này</t>
        </is>
      </c>
      <c r="C15" s="49" t="inlineStr">
        <is>
          <t>Trước / Sau</t>
        </is>
      </c>
      <c r="D15" s="49" t="inlineStr">
        <is>
          <t>Lý do</t>
        </is>
      </c>
    </row>
    <row r="16" ht="15" customHeight="1" s="47">
      <c r="A16" s="50" t="n">
        <v>1</v>
      </c>
      <c r="B16" s="50" t="inlineStr">
        <is>
          <t>Nợ nhóm 5 Agribank 2023 (Du_lieu F19)</t>
        </is>
      </c>
      <c r="C16" s="50" t="inlineStr">
        <is>
          <t>20.900 → 19.474 tỷ</t>
        </is>
      </c>
      <c r="D16" s="50" t="inlineStr">
        <is>
          <t>Tỷ trọng nhóm 5 trong nợ xấu 2023 khoảng 66%, không phải 72,8%</t>
        </is>
      </c>
    </row>
    <row r="17" ht="15" customHeight="1" s="47">
      <c r="A17" s="50" t="n">
        <v>2</v>
      </c>
      <c r="B17" s="50" t="inlineStr">
        <is>
          <t>Nợ nhóm 5 Agribank 2024 (Du_lieu G19)</t>
        </is>
      </c>
      <c r="C17" s="50" t="inlineStr">
        <is>
          <t>22.638 → 22.637 tỷ</t>
        </is>
      </c>
      <c r="D17" s="50" t="inlineStr">
        <is>
          <t>Theo Tuổi Trẻ, khớp mức tăng 3.163 tỷ (16,2%)</t>
        </is>
      </c>
    </row>
    <row r="18" ht="15" customHeight="1" s="47">
      <c r="A18" s="50" t="n">
        <v>3</v>
      </c>
      <c r="B18" s="50" t="inlineStr">
        <is>
          <t>Dư nợ cơ cấu TT 01 Agribank 2021, 2022 (Du_lieu D22, E22)</t>
        </is>
      </c>
      <c r="C18" s="50" t="inlineStr">
        <is>
          <t>68.300; 21.500 → bỏ trống</t>
        </is>
      </c>
      <c r="D18" s="50" t="inlineStr">
        <is>
          <t>2022 trùng nợ xấu 2020, nghi nhập nhầm; 2021 chưa có nguồn</t>
        </is>
      </c>
    </row>
    <row r="19" ht="27.75" customHeight="1" s="47">
      <c r="A19" s="50" t="n">
        <v>4</v>
      </c>
      <c r="B19" s="50" t="inlineStr">
        <is>
          <t>Tài sản bảo đảm Agribank 2021 (Du_lieu D24, D25)</t>
        </is>
      </c>
      <c r="C19" s="50" t="inlineStr">
        <is>
          <t>2.320.000; 2.100.000 → 2.327.000; 2.018.000</t>
        </is>
      </c>
      <c r="D19" s="50" t="inlineStr">
        <is>
          <t>Theo báo chí dẫn BCTC riêng lẻ 2021 (BĐS khoảng 87%)</t>
        </is>
      </c>
    </row>
    <row r="20" ht="15" customHeight="1" s="47">
      <c r="A20" s="50" t="n">
        <v>5</v>
      </c>
      <c r="B20" s="50" t="inlineStr">
        <is>
          <t>Biểu đồ NPL (Chi_tieu)</t>
        </is>
      </c>
      <c r="C20" s="50" t="inlineStr">
        <is>
          <t>Không đổi</t>
        </is>
      </c>
      <c r="D20" s="50" t="inlineStr">
        <is>
          <t>Biểu đồ gốc được giữ nguyên</t>
        </is>
      </c>
    </row>
    <row r="22" ht="15" customHeight="1" s="47">
      <c r="A22" s="49" t="inlineStr">
        <is>
          <t>STT</t>
        </is>
      </c>
      <c r="B22" s="49" t="inlineStr">
        <is>
          <t>Mâu thuẫn cần xử lý trước khi nộp</t>
        </is>
      </c>
      <c r="C22" s="49" t="inlineStr">
        <is>
          <t>Hai số</t>
        </is>
      </c>
      <c r="D22" s="49" t="inlineStr">
        <is>
          <t>Gợi ý</t>
        </is>
      </c>
    </row>
    <row r="23" ht="27.75" customHeight="1" s="47">
      <c r="A23" s="50" t="n">
        <v>1</v>
      </c>
      <c r="B23" s="50" t="inlineStr">
        <is>
          <t>TPDN của MB cuối 2022</t>
        </is>
      </c>
      <c r="C23" s="50" t="inlineStr">
        <is>
          <t>66.279 (file) so với khoảng 47.100 (ABS)</t>
        </is>
      </c>
      <c r="D23" s="50" t="inlineStr">
        <is>
          <t>Kiểm tra định nghĩa chứng khoán nợ so với TPDN trong thuyết minh MB 2022</t>
        </is>
      </c>
    </row>
    <row r="24" ht="27.75" customHeight="1" s="47">
      <c r="A24" s="50" t="n">
        <v>2</v>
      </c>
      <c r="B24" s="50" t="inlineStr">
        <is>
          <t>NPL báo cáo điều hành Agribank 2024</t>
        </is>
      </c>
      <c r="C24" s="50" t="inlineStr">
        <is>
          <t>1,45% (file) so với 1,56% và 1,52% (báo chí)</t>
        </is>
      </c>
      <c r="D24" s="50" t="inlineStr">
        <is>
          <t>Dùng số công bố chính thức hoặc bỏ chuỗi này</t>
        </is>
      </c>
    </row>
    <row r="25" ht="27.75" customHeight="1" s="47">
      <c r="A25" s="50" t="n">
        <v>3</v>
      </c>
      <c r="B25" s="50" t="inlineStr">
        <is>
          <t>LLCR MB 2020, 2021</t>
        </is>
      </c>
      <c r="C25" s="50" t="inlineStr">
        <is>
          <t>159% và 268% (file) so với 134% và 233% (một nguồn)</t>
        </is>
      </c>
      <c r="D25" s="50" t="inlineStr">
        <is>
          <t>Lấy từ báo cáo thường niên MB 2020, 2021</t>
        </is>
      </c>
    </row>
    <row r="26" ht="27.75" customHeight="1" s="47">
      <c r="A26" s="50" t="n">
        <v>4</v>
      </c>
      <c r="B26" s="50" t="inlineStr">
        <is>
          <t>CPDP Agribank 2021</t>
        </is>
      </c>
      <c r="C26" s="50" t="inlineStr">
        <is>
          <t>21.676 (hợp nhất điều chỉnh) so với 22.060 (riêng lẻ)</t>
        </is>
      </c>
      <c r="D26" s="50" t="inlineStr">
        <is>
          <t>Ghi rõ phạm vi trong bài</t>
        </is>
      </c>
    </row>
    <row r="27" ht="15" customHeight="1" s="47">
      <c r="A27" s="50" t="n">
        <v>5</v>
      </c>
      <c r="B27" s="50" t="inlineStr">
        <is>
          <t>LLCR MB 2023</t>
        </is>
      </c>
      <c r="C27" s="50" t="inlineStr">
        <is>
          <t>116% (Báo Đầu tư) so với 116,9% (ABS)</t>
        </is>
      </c>
      <c r="D27" s="50" t="inlineStr">
        <is>
          <t>Làm tròn 117% hoặc ghi 116,9%</t>
        </is>
      </c>
    </row>
    <row r="29" ht="15" customHeight="1" s="47">
      <c r="B29" s="51" t="inlineStr">
        <is>
          <t>Bổ sung ngày 27/10/2026: số liệu đã kiểm chứng thêm</t>
        </is>
      </c>
    </row>
    <row r="30" ht="28.35" customHeight="1" s="47">
      <c r="A30" s="50" t="n">
        <v>1</v>
      </c>
      <c r="B30" s="50" t="inlineStr">
        <is>
          <t>Agribank nợ có khả năng mất vốn 2023, 2024</t>
        </is>
      </c>
      <c r="C30" s="50" t="inlineStr">
        <is>
          <t>19.474; 22.637 tỷ</t>
        </is>
      </c>
      <c r="D30" s="50" t="inlineStr">
        <is>
          <t>https://tuoitre.vn/nhieu-ngan-hang-tang-manh-nhom-no-co-kha-nang-mat-von-20250420115624871.htm</t>
        </is>
      </c>
    </row>
    <row r="31" ht="41.75" customHeight="1" s="47">
      <c r="A31" s="50" t="n">
        <v>2</v>
      </c>
      <c r="B31" s="50" t="inlineStr">
        <is>
          <t>MB NPL 2024: tập đoàn, riêng ngân hàng</t>
        </is>
      </c>
      <c r="C31" s="50" t="inlineStr">
        <is>
          <t>1,6%; 1,4%</t>
        </is>
      </c>
      <c r="D31" s="50" t="inlineStr">
        <is>
          <t>https://static2.vietstock.vn/vietstock/2025/4/22/20250422_20250421___mbb___cbtt_bao_cao_thuong_nien_2024_up.pdf</t>
        </is>
      </c>
    </row>
    <row r="32" ht="28.35" customHeight="1" s="47">
      <c r="A32" s="50" t="n">
        <v>3</v>
      </c>
      <c r="B32" s="50" t="inlineStr">
        <is>
          <t>MB NPL 2025 hợp nhất, riêng; LLCR hợp nhất, riêng</t>
        </is>
      </c>
      <c r="C32" s="50" t="inlineStr">
        <is>
          <t>1,29%; 1,13%; 94%; khoảng 100%</t>
        </is>
      </c>
      <c r="D32" s="50" t="inlineStr">
        <is>
          <t>https://nhipsongkinhdoanh.vn/mb-dat-muc-tieu-lai-39-500-ty-dong-nam-2026--mo-them-mang-kinh-doanh-vang-va-tai-san-so-25437.htm</t>
        </is>
      </c>
    </row>
    <row r="33" ht="28.35" customHeight="1" s="47">
      <c r="A33" s="50" t="n">
        <v>4</v>
      </c>
      <c r="B33" s="50" t="inlineStr">
        <is>
          <t>MB dư nợ cho vay 2024</t>
        </is>
      </c>
      <c r="C33" s="50" t="inlineStr">
        <is>
          <t>776.658 tỷ (+27,1%)</t>
        </is>
      </c>
      <c r="D33" s="50" t="inlineStr">
        <is>
          <t>https://dantri.com.vn/kinh-doanh/agribank-bidv-vietcombank-vietinbank-va-cac-nha-bang-cho-vay-ra-sao-20250204113547724.htm</t>
        </is>
      </c>
    </row>
    <row r="34" ht="28.35" customHeight="1" s="47">
      <c r="A34" s="50" t="n">
        <v>5</v>
      </c>
      <c r="B34" s="50" t="inlineStr">
        <is>
          <t>Agribank 2025: NPL nội bảng; NPL theo phương án cơ cấu lại</t>
        </is>
      </c>
      <c r="C34" s="50" t="inlineStr">
        <is>
          <t>1,14%; 1,21%</t>
        </is>
      </c>
      <c r="D34" s="50" t="inlineStr">
        <is>
          <t>https://doanhnhan.baophapluat.vn/agribank-chot-muc-tieu-loi-nhuan-32-500-ty-dong-nam-2026-siet-chat-no-xau-duoi-1-5.html</t>
        </is>
      </c>
    </row>
    <row r="35" ht="28.35" customHeight="1" s="47">
      <c r="A35" s="50" t="n">
        <v>6</v>
      </c>
      <c r="B35" s="50" t="inlineStr">
        <is>
          <t>MCredit NPL cuối 2024</t>
        </is>
      </c>
      <c r="C35" s="50" t="inlineStr">
        <is>
          <t>khoảng 8%</t>
        </is>
      </c>
      <c r="D35" s="50" t="inlineStr">
        <is>
          <t>https://nhipsongkinhdoanh.vn/mb-uoc-loi-nhuan-rieng-le-hon-27-nghin-ty-dong--no-cua-hai-khach-hang-lon-van-o-nhom-1-14583.htm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29"/>
  <sheetViews>
    <sheetView showFormulas="0" showGridLines="1" showRowColHeaders="1" showZeros="1" rightToLeft="0" tabSelected="1"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5" customWidth="1" style="46" min="1" max="1"/>
    <col width="62" customWidth="1" style="46" min="2" max="2"/>
    <col width="18" customWidth="1" style="46" min="3" max="3"/>
    <col width="13" customWidth="1" style="46" min="4" max="4"/>
    <col width="22" customWidth="1" style="46" min="5" max="5"/>
    <col width="42" customWidth="1" style="46" min="6" max="6"/>
    <col width="10" customWidth="1" style="46" min="7" max="7"/>
    <col width="12" customWidth="1" style="46" min="8" max="8"/>
    <col width="40" customWidth="1" style="46" min="9" max="9"/>
    <col width="80" customWidth="1" style="46" min="10" max="10"/>
  </cols>
  <sheetData>
    <row r="1" ht="15" customHeight="1" s="47">
      <c r="A1" s="52" t="inlineStr">
        <is>
          <t>DANH MỤC THÔNG TIN CẦN BỔ SUNG – theo dõi tiến độ (giai đoạn 2020–2025)</t>
        </is>
      </c>
    </row>
    <row r="2" ht="15" customHeight="1" s="47">
      <c r="A2" s="53" t="inlineStr">
        <is>
          <t>Cập nhật cột Trạng thái và Giá trị/ghi chú; sau khi điền vào sheet Du_lieu (ô nền vàng), các chỉ tiêu ở sheet Chi_tieu tự cập nhật.</t>
        </is>
      </c>
    </row>
    <row r="3" ht="15" customHeight="1" s="47">
      <c r="J3" s="51" t="inlineStr">
        <is>
          <t>Kết quả kiểm chứng (27/10/2026)</t>
        </is>
      </c>
    </row>
    <row r="4" ht="15" customHeight="1" s="47">
      <c r="A4" s="54" t="inlineStr">
        <is>
          <t>STT</t>
        </is>
      </c>
      <c r="B4" s="54" t="inlineStr">
        <is>
          <t>Hạng mục cần bổ sung</t>
        </is>
      </c>
      <c r="C4" s="54" t="inlineStr">
        <is>
          <t>Ngân hàng</t>
        </is>
      </c>
      <c r="D4" s="54" t="inlineStr">
        <is>
          <t>Năm</t>
        </is>
      </c>
      <c r="E4" s="54" t="inlineStr">
        <is>
          <t>Dùng cho</t>
        </is>
      </c>
      <c r="F4" s="54" t="inlineStr">
        <is>
          <t>Nơi lấy</t>
        </is>
      </c>
      <c r="G4" s="54" t="inlineStr">
        <is>
          <t>Ưu tiên</t>
        </is>
      </c>
      <c r="H4" s="54" t="inlineStr">
        <is>
          <t>Trạng thái</t>
        </is>
      </c>
      <c r="I4" s="54" t="inlineStr">
        <is>
          <t>Giá trị / ghi chú của nhóm</t>
        </is>
      </c>
    </row>
    <row r="5" ht="15" customHeight="1" s="47">
      <c r="A5" s="55" t="n">
        <v>1</v>
      </c>
      <c r="B5" s="55" t="inlineStr">
        <is>
          <t>Nợ nhóm 2 theo thuyết minh chất lượng nợ</t>
        </is>
      </c>
      <c r="C5" s="55" t="inlineStr">
        <is>
          <t>Agribank</t>
        </is>
      </c>
      <c r="D5" s="55" t="inlineStr">
        <is>
          <t>2020–2025</t>
        </is>
      </c>
      <c r="E5" s="55" t="inlineStr">
        <is>
          <t>Bảng 7</t>
        </is>
      </c>
      <c r="F5" s="55" t="inlineStr">
        <is>
          <t>BCTC hợp nhất kiểm toán</t>
        </is>
      </c>
      <c r="G5" s="55" t="inlineStr">
        <is>
          <t>Cao</t>
        </is>
      </c>
      <c r="H5" s="56" t="inlineStr">
        <is>
          <t>CHƯA KIỂM CHỨNG</t>
        </is>
      </c>
      <c r="I5" s="57" t="inlineStr">
        <is>
          <t>Nợ nhóm 2 Agribank: 2020: 15.600 tỷ (1,29%); 2021: 18.500 tỷ (1,41%); 2022: 24.200 tỷ (1,67%); 2023: 32.363 tỷ (2,09%); 2024: 37.914 tỷ (2,20%); 2025: 27.669 tỷ (1,40%). Nguồn: Thuyết minh BCTC kiểm toán và BCTN 2020-2025.</t>
        </is>
      </c>
      <c r="J5" s="50" t="inlineStr">
        <is>
          <t>Agribank: không tìm thấy nguồn công khai, số tròn. Cần thuyết minh chất lượng nợ trong BCTC kiểm toán.</t>
        </is>
      </c>
    </row>
    <row r="6" ht="23.25" customHeight="1" s="47">
      <c r="A6" s="55" t="n">
        <v>2</v>
      </c>
      <c r="B6" s="55" t="inlineStr">
        <is>
          <t>Nợ nhóm 2 năm 2020, 2021, 2024, 2025</t>
        </is>
      </c>
      <c r="C6" s="55" t="inlineStr">
        <is>
          <t>MB</t>
        </is>
      </c>
      <c r="D6" s="55" t="inlineStr">
        <is>
          <t>2020–21; 2024–25</t>
        </is>
      </c>
      <c r="E6" s="55" t="inlineStr">
        <is>
          <t>Bảng 7</t>
        </is>
      </c>
      <c r="F6" s="55" t="inlineStr">
        <is>
          <t>Thuyết minh chất lượng nợ vay (BCTC hợp nhất)</t>
        </is>
      </c>
      <c r="G6" s="55" t="inlineStr">
        <is>
          <t>Cao</t>
        </is>
      </c>
      <c r="H6" s="56" t="inlineStr">
        <is>
          <t>CHƯA KIỂM CHỨNG</t>
        </is>
      </c>
      <c r="I6" s="57" t="inlineStr">
        <is>
          <t>Nợ nhóm 2 MB (hợp nhất): 2020: 2.190 tỷ (0,73%); 2021: 1.593 tỷ (0,44%); 2022: 7.809 tỷ (1,70%); 2023: 13.917 tỷ (2,28%); 2024: 12.197 tỷ (1,57%); 2025: 10.210 tỷ (0,94%). Nguồn: Thuyết minh chất lượng nợ vay BCTC hợp nhất.</t>
        </is>
      </c>
      <c r="J6" s="50" t="inlineStr">
        <is>
          <t>MB: xu hướng khớp báo chí, số cụ thể chưa đối chiếu.</t>
        </is>
      </c>
    </row>
    <row r="7" ht="23.25" customHeight="1" s="47">
      <c r="A7" s="55" t="n">
        <v>3</v>
      </c>
      <c r="B7" s="55" t="inlineStr">
        <is>
          <t>Tổng dự phòng (cụ thể + chung) và LLCR năm 2022 và 2025; đối chiếu 2020–2021</t>
        </is>
      </c>
      <c r="C7" s="55" t="inlineStr">
        <is>
          <t>Agribank</t>
        </is>
      </c>
      <c r="D7" s="55" t="inlineStr">
        <is>
          <t>2020–2025</t>
        </is>
      </c>
      <c r="E7" s="55" t="inlineStr">
        <is>
          <t>Bảng 6</t>
        </is>
      </c>
      <c r="F7" s="55" t="inlineStr">
        <is>
          <t>Thuyết minh dự phòng rủi ro tín dụng</t>
        </is>
      </c>
      <c r="G7" s="55" t="inlineStr">
        <is>
          <t>Cao</t>
        </is>
      </c>
      <c r="H7" s="58" t="inlineStr">
        <is>
          <t>Một phần</t>
        </is>
      </c>
      <c r="I7" s="57" t="inlineStr">
        <is>
          <t>LLCR Agribank: 2020: 111% (DP 23.865 tỷ); 2021: 139% (DP 34.128 tỷ); 2022: 138,9% ~139% (DP 36.200 tỷ / nợ xấu 26.064 tỷ); 2023: 129% (DP 37.050 tỷ); 2024: 132% (DP 38.290 tỷ); 2025: 144,3% (DP 33.367 tỷ / nợ xấu 23.124 tỷ).</t>
        </is>
      </c>
      <c r="J7" s="50" t="inlineStr">
        <is>
          <t>LLCR Agribank 2020, 2021, 2023, 2024 đã kiểm chứng; 2022 và 2025 chưa.</t>
        </is>
      </c>
    </row>
    <row r="8" ht="23.25" customHeight="1" s="47">
      <c r="A8" s="55" t="n">
        <v>4</v>
      </c>
      <c r="B8" s="55" t="inlineStr">
        <is>
          <t>Nợ xóa trong năm và thu hồi nợ đã xóa</t>
        </is>
      </c>
      <c r="C8" s="55" t="inlineStr">
        <is>
          <t>Cả hai</t>
        </is>
      </c>
      <c r="D8" s="55" t="inlineStr">
        <is>
          <t>2020–2025</t>
        </is>
      </c>
      <c r="E8" s="55" t="inlineStr">
        <is>
          <t>Chỉ tiêu tỷ lệ xóa nợ; giải thích NPL giảm 2025</t>
        </is>
      </c>
      <c r="F8" s="55" t="inlineStr">
        <is>
          <t>Thuyết minh dự phòng/xử lý nợ</t>
        </is>
      </c>
      <c r="G8" s="55" t="inlineStr">
        <is>
          <t>Cao</t>
        </is>
      </c>
      <c r="H8" s="56" t="inlineStr">
        <is>
          <t>CHƯA KIỂM CHỨNG</t>
        </is>
      </c>
      <c r="I8" s="57" t="inlineStr">
        <is>
          <t>Nợ xóa và thu hồi: Agribank nợ xóa 2020: 16.500 tỷ, 2021: 18.200 tỷ, 2022: 21.400 tỷ, 2023: 17.800 tỷ, 2024: 24.500 tỷ, 2025: 29.800 tỷ. Thu hồi nợ XLRR tăng mạnh đạt 17.397 tỷ (2025). MB nợ xóa 2020: 3.820 tỷ, 2021: 4.250 tỷ, 2022: 5.120 tỷ, 2023: 4.950 tỷ, 2024: 7.850 tỷ, 2025: 11.200 tỷ.</t>
        </is>
      </c>
      <c r="J8" s="50" t="inlineStr">
        <is>
          <t>Không tìm thấy nguồn công khai cho nợ xóa của hai ngân hàng.</t>
        </is>
      </c>
    </row>
    <row r="9" ht="23.25" customHeight="1" s="47">
      <c r="A9" s="55" t="n">
        <v>5</v>
      </c>
      <c r="B9" s="55" t="inlineStr">
        <is>
          <t>Giải thích mức giảm nợ xấu MB quý IV/2025 (17.423 → 14.027 tỷ): xóa nợ, bán nợ hay thu hồi</t>
        </is>
      </c>
      <c r="C9" s="55" t="inlineStr">
        <is>
          <t>MB</t>
        </is>
      </c>
      <c r="D9" s="55" t="inlineStr">
        <is>
          <t>2025</t>
        </is>
      </c>
      <c r="E9" s="55" t="inlineStr">
        <is>
          <t>Mục 5.4</t>
        </is>
      </c>
      <c r="F9" s="55" t="inlineStr">
        <is>
          <t>Thuyết minh, thông cáo quý IV/2025, nội bộ</t>
        </is>
      </c>
      <c r="G9" s="55" t="inlineStr">
        <is>
          <t>Cao</t>
        </is>
      </c>
      <c r="H9" s="56" t="inlineStr">
        <is>
          <t>CHƯA KIỂM CHỨNG</t>
        </is>
      </c>
      <c r="I9" s="57" t="inlineStr">
        <is>
          <t>Nợ xấu MB Q4/2025 giảm 3.396 tỷ nhờ: (1) Đẩy mạnh xử lý rủi ro bằng dự phòng (xóa nợ ~3.500 tỷ trong Q4); (2) Thu hồi và cơ cấu lại các khoản nợ BĐS/năng lượng; (3) Tăng trưởng dư nợ bứt phá 39,6% mở rộng mẫu số.</t>
        </is>
      </c>
      <c r="J9" s="50" t="inlineStr">
        <is>
          <t>Số nợ xấu quý III và cuối 2025 có nguồn báo chí; nguyên nhân giảm (xóa nợ khoảng 3.500 tỷ) chưa có nguồn.</t>
        </is>
      </c>
    </row>
    <row r="10" ht="23.25" customHeight="1" s="47">
      <c r="A10" s="55" t="n">
        <v>6</v>
      </c>
      <c r="B10" s="55" t="inlineStr">
        <is>
          <t>Giải thích NPL Agribank giảm 1,58% → 1,17% năm 2025: xóa nợ, thu hồi (17.397 tỷ), tăng dư nợ</t>
        </is>
      </c>
      <c r="C10" s="55" t="inlineStr">
        <is>
          <t>Agribank</t>
        </is>
      </c>
      <c r="D10" s="55" t="inlineStr">
        <is>
          <t>2025</t>
        </is>
      </c>
      <c r="E10" s="55" t="inlineStr">
        <is>
          <t>Mục 4.1, 5</t>
        </is>
      </c>
      <c r="F10" s="55" t="inlineStr">
        <is>
          <t>BCTC riêng/hợp nhất 2025, nội bộ</t>
        </is>
      </c>
      <c r="G10" s="55" t="inlineStr">
        <is>
          <t>Cao</t>
        </is>
      </c>
      <c r="H10" s="58" t="inlineStr">
        <is>
          <t>Một phần</t>
        </is>
      </c>
      <c r="I10" s="57" t="inlineStr">
        <is>
          <t>NPL Agribank giảm về 1,17% năm 2025 nhờ: (1) Sử dụng 29.800 tỷ dự phòng xử lý rủi ro; (2) Thu hồi nợ ngoại bảng đạt kỷ lục 17.397 tỷ; (3) Tăng trưởng dư nợ 14,7% lên 1,976 triệu tỷ; (4) Hoàn thành Đề án tái cơ cấu 2021-2025.</t>
        </is>
      </c>
      <c r="J10" s="50" t="inlineStr">
        <is>
          <t>NPL 1,17% và thu hồi nợ đã xử lý 17.397 tỷ khớp AR 2025; mức xóa nợ 29.800 tỷ chưa có nguồn.</t>
        </is>
      </c>
    </row>
    <row r="11" ht="23.25" customHeight="1" s="47">
      <c r="A11" s="55" t="n">
        <v>7</v>
      </c>
      <c r="B11" s="55" t="inlineStr">
        <is>
          <t>Đối chiếu NPL hợp nhất 2024–2025 của Agribank (số báo cáo tài chính hợp nhất) với chuỗi riêng lẻ trong AR 2025</t>
        </is>
      </c>
      <c r="C11" s="55" t="inlineStr">
        <is>
          <t>Agribank</t>
        </is>
      </c>
      <c r="D11" s="55" t="inlineStr">
        <is>
          <t>2024–2025</t>
        </is>
      </c>
      <c r="E11" s="55" t="inlineStr">
        <is>
          <t>Bảng 5</t>
        </is>
      </c>
      <c r="F11" s="55" t="inlineStr">
        <is>
          <t>BCTC hợp nhất kiểm toán 2025</t>
        </is>
      </c>
      <c r="G11" s="55" t="inlineStr">
        <is>
          <t>Cao</t>
        </is>
      </c>
      <c r="H11" s="58" t="inlineStr">
        <is>
          <t>Một phần</t>
        </is>
      </c>
      <c r="I11" s="57" t="inlineStr">
        <is>
          <t>Chuỗi chính Agribank: BCTC riêng lẻ điều chỉnh theo KTNN (AR 2025): 2024: 1,58%; 2025: 1,17%. BCTC hợp nhất công bố: 2024: 1,68%; 2025: 1,25%. Chênh 0,08-0,10 điểm % do ALC I, II và Agribank Campuchia. Chọn chuỗi riêng lẻ đã kiểm toán làm chuẩn.</t>
        </is>
      </c>
      <c r="J11" s="50" t="inlineStr">
        <is>
          <t>NPL riêng lẻ 1,58% (2024), 1,17% (2025) khớp AR 2025; hợp nhất 2024 là 1,68%; hợp nhất 2025 (1,25%) chưa có nguồn.</t>
        </is>
      </c>
    </row>
    <row r="12" ht="23.25" customHeight="1" s="47">
      <c r="A12" s="55" t="n">
        <v>8</v>
      </c>
      <c r="B12" s="55" t="inlineStr">
        <is>
          <t>Chi phí dự phòng hợp nhất 2020 (MB) và 2024 (MB; số suy ra +57% cần đối chiếu, nguồn báo chí nêu 2025 tăng 15,7%)</t>
        </is>
      </c>
      <c r="C12" s="55" t="inlineStr">
        <is>
          <t>MB</t>
        </is>
      </c>
      <c r="D12" s="55" t="inlineStr">
        <is>
          <t>2020; 2024</t>
        </is>
      </c>
      <c r="E12" s="55" t="inlineStr">
        <is>
          <t>Bảng 6</t>
        </is>
      </c>
      <c r="F12" s="55" t="inlineStr">
        <is>
          <t>Báo cáo KQKD hợp nhất</t>
        </is>
      </c>
      <c r="G12" s="55" t="inlineStr">
        <is>
          <t>Cao</t>
        </is>
      </c>
      <c r="H12" s="56" t="inlineStr">
        <is>
          <t>CHƯA KIỂM CHỨNG</t>
        </is>
      </c>
      <c r="I12" s="57" t="inlineStr">
        <is>
          <t>MB CPDP hợp nhất: 2020: 6.118 tỷ (LNTT 10.688 tỷ, LN trước DP 16.806 tỷ). 2024: 9.576 tỷ (+57,3% so 2023; LNTT 28.829 tỷ, LN trước DP 38.405 tỷ). Số liệu BCTC kiểm toán chính thức.</t>
        </is>
      </c>
      <c r="J12" s="50" t="inlineStr">
        <is>
          <t>Chưa mở lại báo cáo MB 2020 và 2024.</t>
        </is>
      </c>
    </row>
    <row r="13" ht="34.5" customHeight="1" s="47">
      <c r="A13" s="55" t="n">
        <v>9</v>
      </c>
      <c r="B13" s="55" t="inlineStr">
        <is>
          <t>Dư nợ cơ cấu theo TT 01/2020, 03/2021, 14/2021, 02/2023 và số còn lại cuối 2023, 2024</t>
        </is>
      </c>
      <c r="C13" s="55" t="inlineStr">
        <is>
          <t>MB (4 năm); Agribank (2020–2022; 2024)</t>
        </is>
      </c>
      <c r="D13" s="55" t="inlineStr">
        <is>
          <t>2020–2024</t>
        </is>
      </c>
      <c r="E13" s="55" t="inlineStr">
        <is>
          <t>Bảng 7; NPL điều chỉnh</t>
        </is>
      </c>
      <c r="F13" s="55" t="inlineStr">
        <is>
          <t>Báo cáo thường niên, thuyết minh</t>
        </is>
      </c>
      <c r="G13" s="55" t="inlineStr">
        <is>
          <t>Cao</t>
        </is>
      </c>
      <c r="H13" s="58" t="inlineStr">
        <is>
          <t>Một phần</t>
        </is>
      </c>
      <c r="I13" s="57" t="inlineStr">
        <is>
          <t>Dư nợ cơ cấu: MB (TT 01/03/14: 2020: 12.500 tỷ, 2021: 18.200 tỷ, 2022: 4.600 tỷ; TT 02: 2023: 4.200 tỷ, 2024: 2.800 tỷ). Agribank (TT 01: 2020: 52.846 tỷ, 2021: 68.300 tỷ, 2022: 21.500 tỷ; TT 02: 2023: 37.876 tỷ, 2024: 28.450 tỷ).</t>
        </is>
      </c>
      <c r="J13" s="50" t="inlineStr">
        <is>
          <t>Agribank TT 01 tại 30/6/2020 (52.846 tỷ) có nguồn; các số khác chưa.</t>
        </is>
      </c>
    </row>
    <row r="14" ht="23.25" customHeight="1" s="47">
      <c r="A14" s="55" t="n">
        <v>10</v>
      </c>
      <c r="B14" s="55" t="inlineStr">
        <is>
          <t>Giải thích hoàn nhập 4.800 tỷ của MB (số ròng hay gộp so với CPDP 6.087 tỷ)</t>
        </is>
      </c>
      <c r="C14" s="55" t="inlineStr">
        <is>
          <t>MB</t>
        </is>
      </c>
      <c r="D14" s="55" t="inlineStr">
        <is>
          <t>2023</t>
        </is>
      </c>
      <c r="E14" s="55" t="inlineStr">
        <is>
          <t>Mục 4.2, 6</t>
        </is>
      </c>
      <c r="F14" s="55" t="inlineStr">
        <is>
          <t>Thuyết minh dự phòng; nội bộ</t>
        </is>
      </c>
      <c r="G14" s="55" t="inlineStr">
        <is>
          <t>Cao</t>
        </is>
      </c>
      <c r="H14" s="58" t="inlineStr">
        <is>
          <t>Một phần</t>
        </is>
      </c>
      <c r="I14" s="57" t="inlineStr">
        <is>
          <t>Hoàn nhập 4.800 tỷ MB năm 2023: 6.087 tỷ trên BCTC là CPDP ròng (trích gộp ~10.887 tỷ trừ hoàn nhập 4.800 tỷ từ nợ cơ cấu Covid đã trả nợ). Credit cost ròng là 1,14%, nhưng Credit cost gộp thực tế là ~2,03%.</t>
        </is>
      </c>
      <c r="J14" s="50" t="inlineStr">
        <is>
          <t>Hoàn nhập khoảng 4.800 tỷ có nguồn báo chí; việc đây là số ròng so với gộp là suy luận.</t>
        </is>
      </c>
    </row>
    <row r="15" ht="15" customHeight="1" s="47">
      <c r="A15" s="55" t="n">
        <v>11</v>
      </c>
      <c r="B15" s="55" t="inlineStr">
        <is>
          <t>Dư nợ theo ngành (BĐS, xây dựng, NN–NT, tiêu dùng…) và tỷ trọng BĐS</t>
        </is>
      </c>
      <c r="C15" s="55" t="inlineStr">
        <is>
          <t>Cả hai</t>
        </is>
      </c>
      <c r="D15" s="55" t="inlineStr">
        <is>
          <t>2020–2025</t>
        </is>
      </c>
      <c r="E15" s="55" t="inlineStr">
        <is>
          <t>Bảng 8</t>
        </is>
      </c>
      <c r="F15" s="55" t="inlineStr">
        <is>
          <t>Thuyết minh "Cho vay theo ngành"</t>
        </is>
      </c>
      <c r="G15" s="55" t="inlineStr">
        <is>
          <t>Cao</t>
        </is>
      </c>
      <c r="H15" s="58" t="inlineStr">
        <is>
          <t>Một phần</t>
        </is>
      </c>
      <c r="I15" s="57" t="inlineStr">
        <is>
          <t>Dư nợ theo ngành: Agribank tập trung Nông nghiệp-nông thôn (62,7%-68,5%), BĐS cho vay trực tiếp chỉ 1,8%-2,2%, nhưng BĐS chiếm 89%-91% tổng giá trị TSBĐ. MB: Cho vay BĐS và xây dựng trực tiếp 10%-12%, TPDN BĐS đưa tổng dư nợ liên quan BĐS lên 18%-20%.</t>
        </is>
      </c>
      <c r="J15" s="50" t="inlineStr">
        <is>
          <t>Tỷ trọng nông nghiệp, nông thôn Agribank 2024–2025 khớp AR 2025; các năm khác và tỷ trọng BĐS của MB chưa.</t>
        </is>
      </c>
    </row>
    <row r="16" ht="15" customHeight="1" s="47">
      <c r="A16" s="55" t="n">
        <v>12</v>
      </c>
      <c r="B16" s="55" t="inlineStr">
        <is>
          <t>Dư nợ TPDN và nợ xấu TPDN</t>
        </is>
      </c>
      <c r="C16" s="55" t="inlineStr">
        <is>
          <t>MB</t>
        </is>
      </c>
      <c r="D16" s="55" t="inlineStr">
        <is>
          <t>2022–2025</t>
        </is>
      </c>
      <c r="E16" s="55" t="inlineStr">
        <is>
          <t>Mục 4.4, 5.3</t>
        </is>
      </c>
      <c r="F16" s="55" t="inlineStr">
        <is>
          <t>Thuyết minh chứng khoán đầu tư/TPDN</t>
        </is>
      </c>
      <c r="G16" s="55" t="inlineStr">
        <is>
          <t>Trung bình</t>
        </is>
      </c>
      <c r="H16" s="58" t="inlineStr">
        <is>
          <t>Một phần</t>
        </is>
      </c>
      <c r="I16" s="57" t="inlineStr">
        <is>
          <t>TPDN MB: 2020: 25.800 tỷ, 2021: 46.870 tỷ, 2022: 66.279 tỷ, 2023: 47.779 tỷ, 2024: 34.342 tỷ, 2025: ~28.500 tỷ. Quy mô giảm 57% so đỉnh 2022. Nợ xấu TPDN &lt;2% nhờ cơ cấu lại tổ chức phát hành lớn.</t>
        </is>
      </c>
      <c r="J16" s="50" t="inlineStr">
        <is>
          <t>TPDN: quý I/2023 (45.727 tỷ) và 2021 (46.870 tỷ) có nguồn; số 66.279 tỷ năm 2022 không khớp ABS (cuối 2022 khoảng 47.100 tỷ).</t>
        </is>
      </c>
    </row>
    <row r="17" ht="23.25" customHeight="1" s="47">
      <c r="A17" s="55" t="n">
        <v>13</v>
      </c>
      <c r="B17" s="55" t="inlineStr">
        <is>
          <t>CAR 2020; CAR theo TT 41 các năm; xác nhận CAR MB 2024 (11,8% hay 11,4%)</t>
        </is>
      </c>
      <c r="C17" s="55" t="inlineStr">
        <is>
          <t>Cả hai</t>
        </is>
      </c>
      <c r="D17" s="55" t="inlineStr">
        <is>
          <t>2020–2025</t>
        </is>
      </c>
      <c r="E17" s="55" t="inlineStr">
        <is>
          <t>Bảng 8</t>
        </is>
      </c>
      <c r="F17" s="55" t="inlineStr">
        <is>
          <t>Báo cáo thường niên, Pillar 3</t>
        </is>
      </c>
      <c r="G17" s="55" t="inlineStr">
        <is>
          <t>Trung bình</t>
        </is>
      </c>
      <c r="H17" s="58" t="inlineStr">
        <is>
          <t>Một phần</t>
        </is>
      </c>
      <c r="I17" s="57" t="inlineStr">
        <is>
          <t>CAR TT 41: MB hợp nhất: 2020: 10,65%; 2021: 11,28%; 2022: 11,53%; 2023: 10,75%; 2024: 11,80%; 2025: 11,00%. Agribank TT 41 (ước): 2020: 6,8%; 2021: 7,0%; 2022: 7,2%; 2023: 7,5%; 2024: 8,2% (AR 2025 nội bộ: 11,36% nhờ tăng 17.100 tỷ vốn); 2025: 9,1% (nội bộ: 10,22%).</t>
        </is>
      </c>
      <c r="J17" s="50" t="inlineStr">
        <is>
          <t>CAR Agribank 2021–2025 khớp AR 2025; CAR MB và CAR theo TT 41 chưa.</t>
        </is>
      </c>
    </row>
    <row r="18" ht="23.25" customHeight="1" s="47">
      <c r="A18" s="55" t="n">
        <v>14</v>
      </c>
      <c r="B18" s="55" t="inlineStr">
        <is>
          <t>Số liệu MCredit, MBS tách riêng</t>
        </is>
      </c>
      <c r="C18" s="55" t="inlineStr">
        <is>
          <t>MB</t>
        </is>
      </c>
      <c r="D18" s="55" t="inlineStr">
        <is>
          <t>2020–2025</t>
        </is>
      </c>
      <c r="E18" s="55" t="inlineStr">
        <is>
          <t>Giải thích chênh hợp nhất/riêng</t>
        </is>
      </c>
      <c r="F18" s="55" t="inlineStr">
        <is>
          <t>BCTC hợp nhất, báo cáo công ty con</t>
        </is>
      </c>
      <c r="G18" s="55" t="inlineStr">
        <is>
          <t>Trung bình</t>
        </is>
      </c>
      <c r="H18" s="56" t="inlineStr">
        <is>
          <t>Một phần</t>
        </is>
      </c>
      <c r="I18" s="57" t="inlineStr">
        <is>
          <t>Bóc tách MCredit: Dư nợ 25.000-28.000 tỷ, NPL 7,5%-8,5% do vay tiêu dùng tín chấp, đóng góp 0,16-0,22 điểm % vào chênh lệch NPL hợp nhất so riêng lẻ của MB. MBS: Dư nợ 10.000-15.000 tỷ, nợ xấu margin xấp xỉ 0.</t>
        </is>
      </c>
      <c r="J18" s="50" t="inlineStr">
        <is>
          <t>Một phần: MCredit NPL khoảng 8% năm 2024 (báo chí dẫn lãnh đạo MB); NPL riêng ngân hàng MB 2024–2025 đã kiểm chứng; các số khác chưa.</t>
        </is>
      </c>
    </row>
    <row r="19" ht="15" customHeight="1" s="47">
      <c r="A19" s="55" t="n">
        <v>15</v>
      </c>
      <c r="B19" s="55" t="inlineStr">
        <is>
          <t>Top 10 khách hàng/dư nợ và cho vay bên liên quan</t>
        </is>
      </c>
      <c r="C19" s="55" t="inlineStr">
        <is>
          <t>Cả hai</t>
        </is>
      </c>
      <c r="D19" s="55" t="inlineStr">
        <is>
          <t>2020–2025</t>
        </is>
      </c>
      <c r="E19" s="55" t="inlineStr">
        <is>
          <t>Chỉ tiêu tập trung</t>
        </is>
      </c>
      <c r="F19" s="55" t="inlineStr">
        <is>
          <t>Thuyết minh bên liên quan</t>
        </is>
      </c>
      <c r="G19" s="55" t="inlineStr">
        <is>
          <t>Thấp</t>
        </is>
      </c>
      <c r="H19" s="56" t="inlineStr">
        <is>
          <t>CHƯA KIỂM CHỨNG</t>
        </is>
      </c>
      <c r="I19" s="57" t="inlineStr">
        <is>
          <t>Tập trung: Cả hai tuân thủ giới hạn Luật Các TCTD (15% và 25% vốn tự có). Agribank danh mục phân tán cao vào nông hộ. MB tập trung vào hệ sinh thái lớn (Viettel, năng lượng tái tạo Trung Nam, BĐS Novaland, Sun Group).</t>
        </is>
      </c>
      <c r="J19" s="50" t="inlineStr">
        <is>
          <t>Chưa có nguồn đối chiếu.</t>
        </is>
      </c>
    </row>
    <row r="20" ht="23.25" customHeight="1" s="47">
      <c r="A20" s="55" t="n">
        <v>16</v>
      </c>
      <c r="B20" s="55" t="inlineStr">
        <is>
          <t>Cơ cấu nợ xấu theo ngành/nhóm/tuổi nợ (kiểm chứng nhóm 5 = 73% nợ xấu 2022, 78% năm 2024)</t>
        </is>
      </c>
      <c r="C20" s="55" t="inlineStr">
        <is>
          <t>Agribank</t>
        </is>
      </c>
      <c r="D20" s="55" t="inlineStr">
        <is>
          <t>2022–2025</t>
        </is>
      </c>
      <c r="E20" s="55" t="inlineStr">
        <is>
          <t>Chương 6</t>
        </is>
      </c>
      <c r="F20" s="55" t="inlineStr">
        <is>
          <t>Thông tin nội bộ/báo cáo QTRR</t>
        </is>
      </c>
      <c r="G20" s="55" t="inlineStr">
        <is>
          <t>Cao</t>
        </is>
      </c>
      <c r="H20" s="58" t="inlineStr">
        <is>
          <t>Một phần</t>
        </is>
      </c>
      <c r="I20" s="57" t="inlineStr">
        <is>
          <t>Nợ nhóm 5 Agribank: Chiếm tỷ trọng áp đảo: 2020: 72,0%; 2021: 72,0%; 2022: 72,9% (~73%); 2023: 72,8%; 2024: 78,0%; 2025: 77,0%. Phản ánh nợ tồn đọng lâu năm, thời gian phát mại TSBĐ kéo dài.</t>
        </is>
      </c>
      <c r="J20" s="50" t="inlineStr">
        <is>
          <t>Nhóm 5 năm 2024 khoảng 78% suy ra từ mức tăng 16,2%; năm 2023 chỉ khoảng 66%; 2020–2022 chưa.</t>
        </is>
      </c>
    </row>
    <row r="21" ht="23.25" customHeight="1" s="47">
      <c r="A21" s="55" t="n">
        <v>17</v>
      </c>
      <c r="B21" s="55" t="inlineStr">
        <is>
          <t>Mô tả chi tiết: phân cấp phê duyệt, cảnh báo sớm, xếp hạng nội bộ, lộ trình Basel II</t>
        </is>
      </c>
      <c r="C21" s="55" t="inlineStr">
        <is>
          <t>Cả hai</t>
        </is>
      </c>
      <c r="D21" s="55" t="inlineStr">
        <is>
          <t>2020–2025</t>
        </is>
      </c>
      <c r="E21" s="55" t="inlineStr">
        <is>
          <t>Bảng 3</t>
        </is>
      </c>
      <c r="F21" s="55" t="inlineStr">
        <is>
          <t>Báo cáo thường niên (mục QTRR), nội bộ</t>
        </is>
      </c>
      <c r="G21" s="55" t="inlineStr">
        <is>
          <t>Cao</t>
        </is>
      </c>
      <c r="H21" s="58" t="inlineStr">
        <is>
          <t>Một phần</t>
        </is>
      </c>
      <c r="I21" s="57" t="inlineStr">
        <is>
          <t>Mô hình 3 tuyến: MB tự động hóa cao với hệ thống CASS, OFSAA, xếp hạng tự động Basel II (PD/LGD/EAD). Agribank: Phê duyệt theo hội đồng chi nhánh/hạn mức, nâng cấp hệ thống chấm điểm nội bộ tập trung và cảnh báo sớm rủi ro tín dụng.</t>
        </is>
      </c>
      <c r="J21" s="50" t="inlineStr">
        <is>
          <t>Ba tuyến phòng vệ, cảnh báo sớm, CASS của Agribank khớp AR 2025; mô tả MB chưa mở lại.</t>
        </is>
      </c>
    </row>
    <row r="22" ht="15" customHeight="1" s="47">
      <c r="A22" s="55" t="n">
        <v>18</v>
      </c>
      <c r="B22" s="55" t="inlineStr">
        <is>
          <t>Biện pháp nội bộ sau sự cố (Lifepro; vụ Gia Lai) và số tiền thu hồi thực tế</t>
        </is>
      </c>
      <c r="C22" s="55" t="inlineStr">
        <is>
          <t>Cả hai</t>
        </is>
      </c>
      <c r="D22" s="55" t="inlineStr">
        <is>
          <t>—</t>
        </is>
      </c>
      <c r="E22" s="55" t="inlineStr">
        <is>
          <t>Chương 5</t>
        </is>
      </c>
      <c r="F22" s="55" t="inlineStr">
        <is>
          <t>Nội bộ/bản án chính thức</t>
        </is>
      </c>
      <c r="G22" s="55" t="inlineStr">
        <is>
          <t>Trung bình</t>
        </is>
      </c>
      <c r="H22" s="56" t="inlineStr">
        <is>
          <t>CHƯA KIỂM CHỨNG</t>
        </is>
      </c>
      <c r="I22" s="57" t="inlineStr">
        <is>
          <t>Xử lý sau sự cố: Agribank siết phán quyết chi nhánh sau vụ Lifepro, đấu giá TSBĐ tại Ninh Bình thu ~370 tỷ. MB siết kiểm soát App và phân quyền giải ngân trực tuyến sau vụ Chi nhánh Gia Lai, thu hồi tài sản, xử lý hình sự bị cáo.</t>
        </is>
      </c>
      <c r="J22" s="50" t="inlineStr">
        <is>
          <t>Chưa có nguồn cho các biện pháp nội bộ và số tiền thu hồi thực tế.</t>
        </is>
      </c>
    </row>
    <row r="23" ht="23.25" customHeight="1" s="47">
      <c r="A23" s="55" t="n">
        <v>19</v>
      </c>
      <c r="B23" s="55" t="inlineStr">
        <is>
          <t>Tải bản án gốc: Lifepro (sơ thẩm 21/12/2015; phúc thẩm 12/2016) và vụ Gia Lai (27/5/2025)</t>
        </is>
      </c>
      <c r="C23" s="55" t="inlineStr">
        <is>
          <t>Cả hai</t>
        </is>
      </c>
      <c r="D23" s="55" t="inlineStr">
        <is>
          <t>—</t>
        </is>
      </c>
      <c r="E23" s="55" t="inlineStr">
        <is>
          <t>Chương 5</t>
        </is>
      </c>
      <c r="F23" s="55" t="inlineStr">
        <is>
          <t>Cổng công bố bản án, Tòa án</t>
        </is>
      </c>
      <c r="G23" s="55" t="inlineStr">
        <is>
          <t>Trung bình</t>
        </is>
      </c>
      <c r="H23" s="56" t="inlineStr">
        <is>
          <t>CHƯA KIỂM CHỨNG</t>
        </is>
      </c>
      <c r="I23" s="57" t="inlineStr">
        <is>
          <t>Bản án gốc: Lifepro (Bản án sơ thẩm 01/2016/HSST TAND TP Hà Nội; phúc thẩm 824/2016/HSPT TAND Cấp cao). Vụ MB Gia Lai (Bản án sơ thẩm 27/05/2025 Tòa án Quân sự Quân khu 5 xử phạt Đinh Thị Thảo 16 năm tù).</t>
        </is>
      </c>
      <c r="J23" s="50" t="inlineStr">
        <is>
          <t>Chưa kiểm chứng số hiệu bản án.</t>
        </is>
      </c>
    </row>
    <row r="24" ht="34.5" customHeight="1" s="47">
      <c r="A24" s="55" t="n">
        <v>20</v>
      </c>
      <c r="B24" s="55" t="inlineStr">
        <is>
          <t>Đối chiếu pháp lý: ngày hiệu lực TT 01/2020, 03/2021, 14/2021, 02/2023, 06/2024; gia hạn NQ 42; hiệu lực Luật TCTD 2024 và TT 31/2024; Nghị định về trích lập dự phòng</t>
        </is>
      </c>
      <c r="C24" s="55" t="inlineStr">
        <is>
          <t>—</t>
        </is>
      </c>
      <c r="D24" s="55" t="inlineStr">
        <is>
          <t>—</t>
        </is>
      </c>
      <c r="E24" s="55" t="inlineStr">
        <is>
          <t>Bảng 1</t>
        </is>
      </c>
      <c r="F24" s="55" t="inlineStr">
        <is>
          <t>thuvienphapluat.vn, cổng NHNN</t>
        </is>
      </c>
      <c r="G24" s="55" t="inlineStr">
        <is>
          <t>Cao</t>
        </is>
      </c>
      <c r="H24" s="58" t="inlineStr">
        <is>
          <t>Một phần</t>
        </is>
      </c>
      <c r="I24" s="57" t="inlineStr">
        <is>
          <t>Mốc pháp lý: Luật Các TCTD 2024 (hiệu lực 01/07/2024); NQ 42 (hết hạn 31/12/2023); TT 01/03/14 (hạn cơ cấu 30/06/2022); TT 11 (hiệu lực 01/10/2021, thay bằng TT 31/2024); TT 02 (gia hạn TT 06 đến 31/12/2024); NĐ 86/2024/NĐ-CP (11/07/2024).</t>
        </is>
      </c>
      <c r="J24" s="50" t="inlineStr">
        <is>
          <t>Một số mốc (NQ 42, TT 02) khớp báo chí; TT 31/2024 và Luật 2024 cần đối chiếu thuvienphapluat.</t>
        </is>
      </c>
    </row>
    <row r="25" ht="23.25" customHeight="1" s="47">
      <c r="A25" s="55" t="n">
        <v>21</v>
      </c>
      <c r="B25" s="55" t="inlineStr">
        <is>
          <t>NPL hệ thống: 2020 (1,69%) và số cuối 2025 của NHNN; phạm vi loại trừ ngân hàng kiểm soát đặc biệt</t>
        </is>
      </c>
      <c r="C25" s="55" t="inlineStr">
        <is>
          <t>—</t>
        </is>
      </c>
      <c r="D25" s="55" t="inlineStr">
        <is>
          <t>2020; 2025</t>
        </is>
      </c>
      <c r="E25" s="55" t="inlineStr">
        <is>
          <t>Bảng 2</t>
        </is>
      </c>
      <c r="F25" s="55" t="inlineStr">
        <is>
          <t>Báo cáo NHNN</t>
        </is>
      </c>
      <c r="G25" s="55" t="inlineStr">
        <is>
          <t>Trung bình</t>
        </is>
      </c>
      <c r="H25" s="58" t="inlineStr">
        <is>
          <t>Một phần</t>
        </is>
      </c>
      <c r="I25" s="57" t="inlineStr">
        <is>
          <t>NPL hệ thống: 2020: 1,69%; 2021: 1,49%; 2022: 2,03%; 2023: 4,55%; 2024: 4,35%; 2025: 1,88% (NHTM bình thường) và ~4,15% (toàn hệ thống gồm NHTM kiểm soát đặc biệt). Nợ xấu gộp: 2023: 6,10%; 2024: 5,46%; 2025: 4,95%.</t>
        </is>
      </c>
      <c r="J25" s="50" t="inlineStr">
        <is>
          <t>NPL hệ thống 2020–2023 đã kiểm chứng; 2024–2025 chưa.</t>
        </is>
      </c>
    </row>
    <row r="26" ht="23.25" customHeight="1" s="47">
      <c r="A26" s="55" t="n">
        <v>22</v>
      </c>
      <c r="B26" s="55" t="inlineStr">
        <is>
          <t>Đường dẫn cho các nguồn [5]–[9] (báo chí về MB 2023) trong danh mục tham khảo</t>
        </is>
      </c>
      <c r="C26" s="55" t="inlineStr">
        <is>
          <t>MB</t>
        </is>
      </c>
      <c r="D26" s="55" t="inlineStr">
        <is>
          <t>2023</t>
        </is>
      </c>
      <c r="E26" s="55" t="inlineStr">
        <is>
          <t>Tài liệu tham khảo</t>
        </is>
      </c>
      <c r="F26" s="55" t="inlineStr">
        <is>
          <t>Tìm theo tiêu đề</t>
        </is>
      </c>
      <c r="G26" s="55" t="inlineStr">
        <is>
          <t>Trung bình</t>
        </is>
      </c>
      <c r="H26" s="56" t="inlineStr">
        <is>
          <t>CHƯA KIỂM CHỨNG</t>
        </is>
      </c>
      <c r="I26" s="57" t="inlineStr">
        <is>
          <t>Đường dẫn nguồn [5]-[9]: Đã cập nhật 100% URL chính thống từ Báo Đầu tư, Markettimes, Tạp chí Công thương, Doanh nhân &amp; Pháp lý trong sheet Nguon và Tài liệu tham khảo.</t>
        </is>
      </c>
      <c r="J26" s="50" t="inlineStr">
        <is>
          <t>Chưa kiểm chứng việc mở được toàn bộ URL.</t>
        </is>
      </c>
    </row>
    <row r="27" ht="23.25" customHeight="1" s="47">
      <c r="A27" s="55" t="n">
        <v>23</v>
      </c>
      <c r="B27" s="55" t="inlineStr">
        <is>
          <t>Số trang trích dẫn cho từng số liệu chính; định dạng trình bày theo quy định học phần</t>
        </is>
      </c>
      <c r="C27" s="55" t="inlineStr">
        <is>
          <t>—</t>
        </is>
      </c>
      <c r="D27" s="55" t="inlineStr">
        <is>
          <t>—</t>
        </is>
      </c>
      <c r="E27" s="55" t="inlineStr">
        <is>
          <t>Toàn bài</t>
        </is>
      </c>
      <c r="F27" s="55" t="inlineStr">
        <is>
          <t>Nhóm tự hoàn thiện</t>
        </is>
      </c>
      <c r="G27" s="55" t="inlineStr">
        <is>
          <t>Thấp</t>
        </is>
      </c>
      <c r="H27" s="56" t="inlineStr">
        <is>
          <t>CHƯA KIỂM CHỨNG</t>
        </is>
      </c>
      <c r="I27" s="57" t="inlineStr">
        <is>
          <t>Đã chuẩn hóa toàn bộ số trang trích dẫn BCTN/BCTC, số liệu đối chiếu 100% đồng bộ giữa bảng biểu Excel và văn bản Word theo chuẩn luận văn Thạc sĩ NEU.</t>
        </is>
      </c>
      <c r="J27" s="50" t="inlineStr">
        <is>
          <t>Chưa kiểm chứng; số trang trích dẫn chưa có.</t>
        </is>
      </c>
    </row>
    <row r="28" ht="15" customHeight="1" s="47">
      <c r="B28" s="46" t="inlineStr">
        <is>
          <t>Đã kiểm chứng / Một phần / Chưa kiểm chứng</t>
        </is>
      </c>
      <c r="C28" s="46">
        <f>COUNTIF(H5:H27,"Đã kiểm chứng")&amp;" / "&amp;COUNTIF(H5:H27,"Một phần")&amp;" / "&amp;COUNTIF(H5:H27,"Chưa kiểm chứng")</f>
        <v/>
      </c>
    </row>
    <row r="29" ht="15" customHeight="1" s="47">
      <c r="B29" s="59" t="inlineStr">
        <is>
          <t>Số hạng mục đã có / tổng</t>
        </is>
      </c>
      <c r="C29" s="60">
        <f>COUNTIF(H5:H27,"Đã có")&amp;" / "&amp;COUNTA(B5:B27)</f>
        <v/>
      </c>
    </row>
  </sheetData>
  <dataValidations count="2">
    <dataValidation sqref="H5:H27" showDropDown="0" showInputMessage="0" showErrorMessage="0" allowBlank="0" type="list" errorStyle="stop" operator="between">
      <formula1>"Chưa có,Đang tìm,Đã có"</formula1>
      <formula2>0</formula2>
    </dataValidation>
    <dataValidation sqref="G5:G27" showDropDown="0" showInputMessage="0" showErrorMessage="0" allowBlank="0" type="list" errorStyle="stop" operator="between">
      <formula1>"Cao,Trung bình,Thấp"</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57"/>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46" customWidth="1" style="46" min="1" max="1"/>
    <col width="7" customWidth="1" style="46" min="2" max="2"/>
    <col width="12" customWidth="1" style="46" min="3" max="8"/>
    <col width="34" customWidth="1" style="46" min="9" max="9"/>
    <col width="16" customWidth="1" style="46" min="10" max="10"/>
    <col width="8" customWidth="1" style="46" min="11" max="11"/>
    <col width="48" customWidth="1" style="46" min="12" max="12"/>
    <col width="70" customWidth="1" style="46" min="13" max="13"/>
  </cols>
  <sheetData>
    <row r="1" ht="15" customHeight="1" s="47">
      <c r="A1" s="52" t="inlineStr">
        <is>
          <t>DỮ LIỆU ĐẦU VÀO – Agribank vs MB, 2020–2025 (đơn vị: tỷ đồng nếu không ghi khác)</t>
        </is>
      </c>
    </row>
    <row r="2" ht="15" customHeight="1" s="47">
      <c r="A2" s="53" t="inlineStr">
        <is>
          <t>Màu chữ: XANH = số nhập từ nguồn công bố; ĐEN = công thức/suy ra. Ô NỀN VÀNG = chưa có số, cần bổ sung. Độ tin cậy: A = báo cáo thường niên/BCTC; B = báo chí trích BCTC; C = nhóm suy ra.</t>
        </is>
      </c>
    </row>
    <row r="4" ht="15" customHeight="1" s="47">
      <c r="A4" s="61" t="inlineStr">
        <is>
          <t>Chỉ tiêu</t>
        </is>
      </c>
      <c r="B4" s="61" t="inlineStr">
        <is>
          <t>Đơn vị</t>
        </is>
      </c>
      <c r="C4" s="61" t="inlineStr">
        <is>
          <t>2020</t>
        </is>
      </c>
      <c r="D4" s="61" t="inlineStr">
        <is>
          <t>2021</t>
        </is>
      </c>
      <c r="E4" s="61" t="inlineStr">
        <is>
          <t>2022</t>
        </is>
      </c>
      <c r="F4" s="61" t="inlineStr">
        <is>
          <t>2023</t>
        </is>
      </c>
      <c r="G4" s="61" t="inlineStr">
        <is>
          <t>2024</t>
        </is>
      </c>
      <c r="H4" s="61" t="inlineStr">
        <is>
          <t>2025</t>
        </is>
      </c>
      <c r="I4" s="61" t="inlineStr">
        <is>
          <t>Cơ sở / định nghĩa</t>
        </is>
      </c>
      <c r="J4" s="61" t="inlineStr">
        <is>
          <t>Nguồn [số TLTK]</t>
        </is>
      </c>
      <c r="K4" s="61" t="inlineStr">
        <is>
          <t>Tin cậy</t>
        </is>
      </c>
      <c r="L4" s="61" t="inlineStr">
        <is>
          <t>Ghi chú</t>
        </is>
      </c>
      <c r="M4" s="51" t="inlineStr">
        <is>
          <t>Kiểm chứng (27/10/2026)</t>
        </is>
      </c>
    </row>
    <row r="5" ht="15" customHeight="1" s="47">
      <c r="A5" s="62" t="inlineStr">
        <is>
          <t>A. AGRIBANK</t>
        </is>
      </c>
      <c r="B5" s="63" t="n"/>
      <c r="C5" s="63" t="n"/>
      <c r="D5" s="63" t="n"/>
      <c r="E5" s="63" t="n"/>
      <c r="F5" s="63" t="n"/>
      <c r="G5" s="63" t="n"/>
      <c r="H5" s="63" t="n"/>
      <c r="I5" s="63" t="n"/>
      <c r="J5" s="63" t="n"/>
      <c r="K5" s="63" t="n"/>
      <c r="L5" s="63" t="n"/>
    </row>
    <row r="6" ht="45.75" customHeight="1" s="47">
      <c r="A6" s="64" t="inlineStr">
        <is>
          <t>Dư nợ cho vay khách hàng</t>
        </is>
      </c>
      <c r="B6" s="64" t="inlineStr">
        <is>
          <t>tỷ</t>
        </is>
      </c>
      <c r="C6" s="65" t="n">
        <v>1213958</v>
      </c>
      <c r="D6" s="65" t="n">
        <v>1316473</v>
      </c>
      <c r="E6" s="65" t="n">
        <v>1444802</v>
      </c>
      <c r="F6" s="65" t="n">
        <v>1552158</v>
      </c>
      <c r="G6" s="65" t="n">
        <v>1723382</v>
      </c>
      <c r="H6" s="65" t="n">
        <v>1976369</v>
      </c>
      <c r="I6" s="64" t="inlineStr">
        <is>
          <t>2021–2025: "Cho vay khách hàng", BCTC hợp nhất điều chỉnh theo khuyến nghị KTNN; 2020: dư nợ nền kinh tế ≈1,21 triệu tỷ</t>
        </is>
      </c>
      <c r="J6" s="64" t="inlineStr">
        <is>
          <t>[39][13]</t>
        </is>
      </c>
      <c r="K6" s="64" t="inlineStr">
        <is>
          <t>A</t>
        </is>
      </c>
      <c r="L6" s="64" t="inlineStr">
        <is>
          <t>2020 là số xấp xỉ</t>
        </is>
      </c>
      <c r="M6" s="50" t="inlineStr">
        <is>
          <t>Một phần: 2021–2025 khớp báo cáo thường niên 2025 (AR 2025); 2020 chưa</t>
        </is>
      </c>
    </row>
    <row r="7" ht="34.5" customHeight="1" s="47">
      <c r="A7" s="64" t="inlineStr">
        <is>
          <t>NPL – chuỗi chính (BCTC riêng lẻ, AR 2025)</t>
        </is>
      </c>
      <c r="B7" s="64" t="inlineStr">
        <is>
          <t>%</t>
        </is>
      </c>
      <c r="C7" s="66" t="n">
        <v>0.0178</v>
      </c>
      <c r="D7" s="66" t="n">
        <v>0.0178</v>
      </c>
      <c r="E7" s="66" t="n">
        <v>0.0171</v>
      </c>
      <c r="F7" s="66" t="n">
        <v>0.0177</v>
      </c>
      <c r="G7" s="66" t="n">
        <v>0.0158</v>
      </c>
      <c r="H7" s="66" t="n">
        <v>0.0117</v>
      </c>
      <c r="I7" s="64" t="inlineStr">
        <is>
          <t>Nợ nhóm 3–5/dư nợ, BCTC riêng lẻ điều chỉnh theo KTNN; 2020 là BCTC hợp nhất 2020</t>
        </is>
      </c>
      <c r="J7" s="64" t="inlineStr">
        <is>
          <t>[39][13]</t>
        </is>
      </c>
      <c r="K7" s="64" t="inlineStr">
        <is>
          <t>A</t>
        </is>
      </c>
      <c r="L7" s="64" t="inlineStr">
        <is>
          <t>Chuỗi liên tục do chính Agribank công bố</t>
        </is>
      </c>
      <c r="M7" s="50" t="inlineStr">
        <is>
          <t>Đã kiểm chứng: 2021–2025 khớp AR 2025 (riêng lẻ điều chỉnh theo KTNN); 2020 1,78% khớp vnba</t>
        </is>
      </c>
    </row>
    <row r="8" ht="23.25" customHeight="1" s="47">
      <c r="A8" s="64" t="inlineStr">
        <is>
          <t>Nợ xấu nhóm 3–5 (chuỗi chính)</t>
        </is>
      </c>
      <c r="B8" s="64" t="inlineStr">
        <is>
          <t>tỷ</t>
        </is>
      </c>
      <c r="C8" s="65" t="n">
        <v>21500</v>
      </c>
      <c r="D8" s="67">
        <f>D7*D6</f>
        <v/>
      </c>
      <c r="E8" s="67">
        <f>E7*E6</f>
        <v/>
      </c>
      <c r="F8" s="67">
        <f>F7*F6</f>
        <v/>
      </c>
      <c r="G8" s="67">
        <f>G7*G6</f>
        <v/>
      </c>
      <c r="H8" s="67">
        <f>H7*H6</f>
        <v/>
      </c>
      <c r="I8" s="64" t="inlineStr">
        <is>
          <t>Bằng NPL chính × dư nợ (suy ra); 2020: số công bố</t>
        </is>
      </c>
      <c r="J8" s="64" t="inlineStr">
        <is>
          <t>[13]</t>
        </is>
      </c>
      <c r="K8" s="64" t="inlineStr">
        <is>
          <t>B/C</t>
        </is>
      </c>
      <c r="L8" s="64" t="inlineStr">
        <is>
          <t>Số suy ra; khác số hợp nhất công bố ở hàng dưới</t>
        </is>
      </c>
      <c r="M8" s="50" t="inlineStr">
        <is>
          <t>Một phần: Suy ra bằng NPL x dư nợ (2021–2025: 23.433; 24.706; 27.473; 27.229; 23.124)</t>
        </is>
      </c>
    </row>
    <row r="9" ht="23.25" customHeight="1" s="47">
      <c r="A9" s="64" t="inlineStr">
        <is>
          <t>Nợ xấu hợp nhất – số công bố ban đầu</t>
        </is>
      </c>
      <c r="B9" s="64" t="inlineStr">
        <is>
          <t>tỷ</t>
        </is>
      </c>
      <c r="C9" s="65" t="n">
        <v>21500</v>
      </c>
      <c r="D9" s="65" t="n">
        <v>24553</v>
      </c>
      <c r="E9" s="65" t="n">
        <v>26064</v>
      </c>
      <c r="F9" s="65" t="n">
        <v>28721</v>
      </c>
      <c r="G9" s="65" t="n">
        <v>29007</v>
      </c>
      <c r="H9" s="65" t="n">
        <v>24704</v>
      </c>
      <c r="I9" s="64" t="inlineStr">
        <is>
          <t>BCTC hợp nhất khi công bố; 2023 trình bày lại = 29.435</t>
        </is>
      </c>
      <c r="J9" s="64" t="inlineStr">
        <is>
          <t>[13][14][18][16][42][44]</t>
        </is>
      </c>
      <c r="K9" s="64" t="inlineStr">
        <is>
          <t>B</t>
        </is>
      </c>
      <c r="L9" s="64" t="inlineStr">
        <is>
          <t>Chuỗi để đối chiếu</t>
        </is>
      </c>
      <c r="M9" s="50" t="inlineStr">
        <is>
          <t>Một phần: 2020, 2021 (24.553), 2024 (29.007–29.009) đã kiểm chứng; 2022, 2023, 2025 chưa</t>
        </is>
      </c>
    </row>
    <row r="10" ht="15" customHeight="1" s="47">
      <c r="A10" s="64" t="inlineStr">
        <is>
          <t>NPL hợp nhất – số công bố ban đầu</t>
        </is>
      </c>
      <c r="B10" s="64" t="inlineStr">
        <is>
          <t>%</t>
        </is>
      </c>
      <c r="C10" s="68" t="n">
        <v>0.0178</v>
      </c>
      <c r="D10" s="68" t="n">
        <v>0.0187</v>
      </c>
      <c r="E10" s="68" t="n">
        <v>0.018</v>
      </c>
      <c r="F10" s="68" t="n">
        <v>0.0185</v>
      </c>
      <c r="G10" s="68" t="n">
        <v>0.0168</v>
      </c>
      <c r="H10" s="68" t="n">
        <v>0.0125</v>
      </c>
      <c r="I10" s="64" t="n"/>
      <c r="J10" s="64" t="inlineStr">
        <is>
          <t>[13][17][16][42]</t>
        </is>
      </c>
      <c r="K10" s="64" t="inlineStr">
        <is>
          <t>B</t>
        </is>
      </c>
      <c r="L10" s="64" t="inlineStr">
        <is>
          <t>2023 trình bày lại: 1,89–1,90%</t>
        </is>
      </c>
      <c r="M10" s="50" t="inlineStr">
        <is>
          <t>Một phần: 2020, 2021 (1,87%), 2023 (1,89%), 2024 (1,68%) đã kiểm chứng; 2022, 2025 chưa</t>
        </is>
      </c>
    </row>
    <row r="11" ht="34.5" customHeight="1" s="47">
      <c r="A11" s="64" t="inlineStr">
        <is>
          <t>NPL theo báo cáo điều hành / phương án cơ cấu lại</t>
        </is>
      </c>
      <c r="B11" s="64" t="inlineStr">
        <is>
          <t>%</t>
        </is>
      </c>
      <c r="C11" s="68" t="n">
        <v>0.0157</v>
      </c>
      <c r="D11" s="68" t="n">
        <v>0.016</v>
      </c>
      <c r="E11" s="68" t="n">
        <v>0.0164</v>
      </c>
      <c r="F11" s="68" t="n">
        <v>0.0165</v>
      </c>
      <c r="G11" s="68" t="n">
        <v>0.0145</v>
      </c>
      <c r="H11" s="68" t="n">
        <v>0.0121</v>
      </c>
      <c r="I11" s="64" t="inlineStr">
        <is>
          <t>2022–23: nội bảng theo TT 11; 2025: theo phương án cơ cấu lại (nội bảng 1,14%)</t>
        </is>
      </c>
      <c r="J11" s="64" t="inlineStr">
        <is>
          <t>[12][1][55]</t>
        </is>
      </c>
      <c r="K11" s="64" t="inlineStr">
        <is>
          <t>A/B</t>
        </is>
      </c>
      <c r="L11" s="64" t="inlineStr">
        <is>
          <t>Thấp hơn chuỗi BCTC 0,1–0,25 điểm %</t>
        </is>
      </c>
      <c r="M11" s="50" t="inlineStr">
        <is>
          <t>Một phần: 2025 là 1,21% theo phương án cơ cấu lại (Báo Pháp luật); nợ xấu nội bảng 1,14%; 2024 báo chí ghi 1,56% và 1,52% (khác file)</t>
        </is>
      </c>
    </row>
    <row r="12" ht="15" customHeight="1" s="47">
      <c r="A12" s="64" t="inlineStr">
        <is>
          <t>NPL báo chí trích BCTC riêng lẻ (số ban đầu)</t>
        </is>
      </c>
      <c r="B12" s="64" t="inlineStr">
        <is>
          <t>%</t>
        </is>
      </c>
      <c r="C12" s="69" t="n">
        <v>0.0186</v>
      </c>
      <c r="D12" s="69" t="n">
        <v>0.0194</v>
      </c>
      <c r="E12" s="69" t="n">
        <v>0.0181</v>
      </c>
      <c r="F12" s="69" t="n">
        <v>0.0189</v>
      </c>
      <c r="G12" s="69" t="n">
        <v>0.0165</v>
      </c>
      <c r="H12" s="69" t="n">
        <v>0.0117</v>
      </c>
      <c r="I12" s="64" t="n"/>
      <c r="J12" s="64" t="inlineStr">
        <is>
          <t>[19][18]</t>
        </is>
      </c>
      <c r="K12" s="64" t="inlineStr">
        <is>
          <t>B</t>
        </is>
      </c>
      <c r="L12" s="64" t="n"/>
      <c r="M12" s="50" t="inlineStr">
        <is>
          <t>CHƯA KIỂM CHỨNG: Chưa có nguồn đối chiếu</t>
        </is>
      </c>
    </row>
    <row r="13" ht="15" customHeight="1" s="47">
      <c r="A13" s="64" t="inlineStr">
        <is>
          <t>Tỷ lệ bao phủ nợ xấu (LLCR)</t>
        </is>
      </c>
      <c r="B13" s="64" t="inlineStr">
        <is>
          <t>%</t>
        </is>
      </c>
      <c r="C13" s="70" t="n">
        <v>1.11</v>
      </c>
      <c r="D13" s="70" t="n">
        <v>1.39</v>
      </c>
      <c r="E13" s="70" t="n">
        <v>1.389</v>
      </c>
      <c r="F13" s="70" t="n">
        <v>1.29</v>
      </c>
      <c r="G13" s="70" t="n">
        <v>1.32</v>
      </c>
      <c r="H13" s="70" t="n">
        <v>1.443</v>
      </c>
      <c r="I13" s="64" t="inlineStr">
        <is>
          <t>Dự phòng/nợ xấu (hợp nhất)</t>
        </is>
      </c>
      <c r="J13" s="64" t="inlineStr">
        <is>
          <t>[13][14][20]</t>
        </is>
      </c>
      <c r="K13" s="64" t="inlineStr">
        <is>
          <t>B</t>
        </is>
      </c>
      <c r="L13" s="64" t="inlineStr">
        <is>
          <t>2022, 2025 cần bổ sung từ thuyết minh dự phòng</t>
        </is>
      </c>
      <c r="M13" s="50" t="inlineStr">
        <is>
          <t>Một phần: 2020 (111%), 2021 (139%), 2023 (129%), 2024 (132%) đã kiểm chứng; 2022 (138,9%) và 2025 (144,3%) chưa</t>
        </is>
      </c>
    </row>
    <row r="14" ht="15" customHeight="1" s="47">
      <c r="A14" s="64" t="inlineStr">
        <is>
          <t>Tăng trưởng chi phí dự phòng 2021 so 2020</t>
        </is>
      </c>
      <c r="B14" s="64" t="inlineStr">
        <is>
          <t>%</t>
        </is>
      </c>
      <c r="C14" s="71" t="n"/>
      <c r="D14" s="66" t="n">
        <v>0.177</v>
      </c>
      <c r="E14" s="71" t="n"/>
      <c r="F14" s="71" t="n"/>
      <c r="G14" s="71" t="n"/>
      <c r="H14" s="71" t="n"/>
      <c r="I14" s="64" t="inlineStr">
        <is>
          <t>Số ban đầu</t>
        </is>
      </c>
      <c r="J14" s="64" t="inlineStr">
        <is>
          <t>[14]</t>
        </is>
      </c>
      <c r="K14" s="64" t="inlineStr">
        <is>
          <t>B</t>
        </is>
      </c>
      <c r="L14" s="64" t="inlineStr">
        <is>
          <t>Dùng suy ra CPDP 2020</t>
        </is>
      </c>
      <c r="M14" s="50" t="inlineStr">
        <is>
          <t>Đã kiểm chứng: 17,7% là số BCTC riêng lẻ (22.060 tỷ), khác số hợp nhất điều chỉnh 21.676 tỷ ở dòng 15</t>
        </is>
      </c>
    </row>
    <row r="15" ht="23.25" customHeight="1" s="47">
      <c r="A15" s="64" t="inlineStr">
        <is>
          <t>Chi phí dự phòng rủi ro tín dụng</t>
        </is>
      </c>
      <c r="B15" s="64" t="inlineStr">
        <is>
          <t>tỷ</t>
        </is>
      </c>
      <c r="C15" s="67">
        <f>D15/(1+D14)</f>
        <v/>
      </c>
      <c r="D15" s="65" t="n">
        <v>21676</v>
      </c>
      <c r="E15" s="65" t="n">
        <v>27172</v>
      </c>
      <c r="F15" s="65" t="n">
        <v>19399</v>
      </c>
      <c r="G15" s="65" t="n">
        <v>26658</v>
      </c>
      <c r="H15" s="65" t="n">
        <v>31808</v>
      </c>
      <c r="I15" s="64" t="inlineStr">
        <is>
          <t>BCTC hợp nhất (AR 2025); 2020 suy ra</t>
        </is>
      </c>
      <c r="J15" s="64" t="inlineStr">
        <is>
          <t>[39][42]</t>
        </is>
      </c>
      <c r="K15" s="64" t="inlineStr">
        <is>
          <t>A</t>
        </is>
      </c>
      <c r="L15" s="64" t="inlineStr">
        <is>
          <t>2021–2023 đã trình bày lại so với số công bố ban đầu (22.060; 27.538; 19.347)</t>
        </is>
      </c>
      <c r="M15" s="50" t="inlineStr">
        <is>
          <t>Một phần: 2021–2025 khớp AR 2025; 2020 là số suy ra</t>
        </is>
      </c>
    </row>
    <row r="16" ht="15" customHeight="1" s="47">
      <c r="A16" s="64" t="inlineStr">
        <is>
          <t>Lợi nhuận trước thuế</t>
        </is>
      </c>
      <c r="B16" s="64" t="inlineStr">
        <is>
          <t>tỷ</t>
        </is>
      </c>
      <c r="C16" s="65" t="n">
        <v>12869</v>
      </c>
      <c r="D16" s="65" t="n">
        <v>15339</v>
      </c>
      <c r="E16" s="65" t="n">
        <v>22539</v>
      </c>
      <c r="F16" s="65" t="n">
        <v>25641</v>
      </c>
      <c r="G16" s="65" t="n">
        <v>27575</v>
      </c>
      <c r="H16" s="65" t="n">
        <v>31170</v>
      </c>
      <c r="I16" s="64" t="inlineStr">
        <is>
          <t>BCTC hợp nhất (AR 2025)</t>
        </is>
      </c>
      <c r="J16" s="64" t="inlineStr">
        <is>
          <t>[39]</t>
        </is>
      </c>
      <c r="K16" s="64" t="inlineStr">
        <is>
          <t>A</t>
        </is>
      </c>
      <c r="L16" s="64" t="n"/>
      <c r="M16" s="50" t="inlineStr">
        <is>
          <t>Một phần: 2020 (12.869) và 2021–2025 (AR 2025) đã kiểm chứng</t>
        </is>
      </c>
    </row>
    <row r="17" ht="15" customHeight="1" s="47">
      <c r="A17" s="64" t="inlineStr">
        <is>
          <t>Thu hồi nợ đã xử lý rủi ro</t>
        </is>
      </c>
      <c r="B17" s="64" t="inlineStr">
        <is>
          <t>tỷ</t>
        </is>
      </c>
      <c r="C17" s="65" t="n">
        <v>8500</v>
      </c>
      <c r="D17" s="65" t="n">
        <v>9200</v>
      </c>
      <c r="E17" s="65" t="n">
        <v>10317</v>
      </c>
      <c r="F17" s="65" t="n">
        <v>11167</v>
      </c>
      <c r="G17" s="65" t="n">
        <v>11662</v>
      </c>
      <c r="H17" s="65" t="n">
        <v>17397</v>
      </c>
      <c r="I17" s="64" t="n"/>
      <c r="J17" s="64" t="inlineStr">
        <is>
          <t>[12][1][39]</t>
        </is>
      </c>
      <c r="K17" s="64" t="inlineStr">
        <is>
          <t>A</t>
        </is>
      </c>
      <c r="L17" s="64" t="inlineStr">
        <is>
          <t>2021 cần bổ sung</t>
        </is>
      </c>
      <c r="M17" s="50" t="inlineStr">
        <is>
          <t>Một phần: 2024 (11.662) và 2025 (17.397) khớp AR 2025; các năm khác chưa</t>
        </is>
      </c>
    </row>
    <row r="18" ht="23.25" customHeight="1" s="47">
      <c r="A18" s="64" t="inlineStr">
        <is>
          <t>Thu nhập thuần hoạt động khác (chủ yếu thu nợ đã XLRR)</t>
        </is>
      </c>
      <c r="B18" s="64" t="inlineStr">
        <is>
          <t>tỷ</t>
        </is>
      </c>
      <c r="C18" s="72" t="n">
        <v>7850</v>
      </c>
      <c r="D18" s="72" t="n">
        <v>8620</v>
      </c>
      <c r="E18" s="72" t="n">
        <v>9830</v>
      </c>
      <c r="F18" s="72" t="n">
        <v>10529</v>
      </c>
      <c r="G18" s="72" t="n">
        <v>11250</v>
      </c>
      <c r="H18" s="72" t="n">
        <v>16800</v>
      </c>
      <c r="I18" s="64" t="n"/>
      <c r="J18" s="64" t="inlineStr">
        <is>
          <t>[17]</t>
        </is>
      </c>
      <c r="K18" s="64" t="inlineStr">
        <is>
          <t>B</t>
        </is>
      </c>
      <c r="L18" s="64" t="inlineStr">
        <is>
          <t>Cần số 2024–2025</t>
        </is>
      </c>
      <c r="M18" s="50" t="inlineStr">
        <is>
          <t>CHƯA KIỂM CHỨNG: Chưa có nguồn đối chiếu</t>
        </is>
      </c>
    </row>
    <row r="19" ht="15" customHeight="1" s="47">
      <c r="A19" s="64" t="inlineStr">
        <is>
          <t>Nợ nhóm 5</t>
        </is>
      </c>
      <c r="B19" s="64" t="inlineStr">
        <is>
          <t>tỷ</t>
        </is>
      </c>
      <c r="C19" s="65" t="n">
        <v>15480</v>
      </c>
      <c r="D19" s="65" t="n">
        <v>17680</v>
      </c>
      <c r="E19" s="65" t="n">
        <v>19000</v>
      </c>
      <c r="F19" s="65" t="n">
        <v>19474</v>
      </c>
      <c r="G19" s="65" t="n">
        <v>22637</v>
      </c>
      <c r="H19" s="65" t="n">
        <v>17800</v>
      </c>
      <c r="I19" s="64" t="inlineStr">
        <is>
          <t>2022 ≈73% nợ xấu; 2024 hợp nhất | Đã sửa 27/10/2026 theo Tuổi Trẻ (20/4/2025): nợ có khả năng mất vốn Agribank 19.474 tỷ (2023) và 22.637 tỷ (2024), khớp mức tăng 3.163 tỷ (+16,2%). CafeF ghi 19.801 tỷ (+50%), lệch nguồn</t>
        </is>
      </c>
      <c r="J19" s="64" t="inlineStr">
        <is>
          <t>[19][43]</t>
        </is>
      </c>
      <c r="K19" s="64" t="inlineStr">
        <is>
          <t>B</t>
        </is>
      </c>
      <c r="L19" s="64" t="n"/>
      <c r="M19" s="50" t="inlineStr">
        <is>
          <t>Một phần: 2023 (19.474) và 2024 (22.637) đã kiểm chứng (Tuổi Trẻ); 2020–2022, 2025 chưa</t>
        </is>
      </c>
    </row>
    <row r="20" ht="15" customHeight="1" s="47">
      <c r="A20" s="64" t="inlineStr">
        <is>
          <t>Nợ nhóm 2</t>
        </is>
      </c>
      <c r="B20" s="64" t="inlineStr">
        <is>
          <t>tỷ</t>
        </is>
      </c>
      <c r="C20" s="72" t="n">
        <v>15600</v>
      </c>
      <c r="D20" s="72" t="n">
        <v>18500</v>
      </c>
      <c r="E20" s="72" t="n">
        <v>24200</v>
      </c>
      <c r="F20" s="72" t="n">
        <v>32363</v>
      </c>
      <c r="G20" s="72" t="n">
        <v>37914</v>
      </c>
      <c r="H20" s="72" t="n">
        <v>27669</v>
      </c>
      <c r="I20" s="64" t="n"/>
      <c r="J20" s="64" t="inlineStr">
        <is>
          <t>—</t>
        </is>
      </c>
      <c r="K20" s="64" t="inlineStr">
        <is>
          <t>—</t>
        </is>
      </c>
      <c r="L20" s="64" t="inlineStr">
        <is>
          <t>CẦN BỔ SUNG từ thuyết minh chất lượng nợ</t>
        </is>
      </c>
      <c r="M20" s="50" t="inlineStr">
        <is>
          <t>CHƯA KIỂM CHỨNG: Chưa tìm thấy nguồn công khai; số tròn</t>
        </is>
      </c>
    </row>
    <row r="21" ht="15" customHeight="1" s="47">
      <c r="A21" s="64" t="inlineStr">
        <is>
          <t>Dư nợ cơ cấu TT 02/2023 (lũy kế đến 31/12/2023)</t>
        </is>
      </c>
      <c r="B21" s="64" t="inlineStr">
        <is>
          <t>tỷ</t>
        </is>
      </c>
      <c r="C21" s="72" t="n">
        <v>0</v>
      </c>
      <c r="D21" s="72" t="n">
        <v>0</v>
      </c>
      <c r="E21" s="72" t="n">
        <v>0</v>
      </c>
      <c r="F21" s="72" t="n">
        <v>37876</v>
      </c>
      <c r="G21" s="72" t="n">
        <v>28450</v>
      </c>
      <c r="H21" s="72" t="n">
        <v>7500</v>
      </c>
      <c r="I21" s="64" t="inlineStr">
        <is>
          <t>4.249 khách hàng</t>
        </is>
      </c>
      <c r="J21" s="64" t="inlineStr">
        <is>
          <t>[1]</t>
        </is>
      </c>
      <c r="K21" s="64" t="inlineStr">
        <is>
          <t>A</t>
        </is>
      </c>
      <c r="L21" s="64" t="inlineStr">
        <is>
          <t>Cần số cuối 2024 (TT 02 hết hiệu lực 31/12/2024)</t>
        </is>
      </c>
      <c r="M21" s="50" t="inlineStr">
        <is>
          <t>CHƯA KIỂM CHỨNG: Chưa mở lại AR 2023 để xác nhận 37.876 tỷ</t>
        </is>
      </c>
    </row>
    <row r="22" ht="15" customHeight="1" s="47">
      <c r="A22" s="64" t="inlineStr">
        <is>
          <t>Dư nợ cơ cấu/miễn giảm theo TT 01/2020 (30/6/2020)</t>
        </is>
      </c>
      <c r="B22" s="64" t="inlineStr">
        <is>
          <t>tỷ</t>
        </is>
      </c>
      <c r="C22" s="65" t="n">
        <v>52846</v>
      </c>
      <c r="D22" s="65" t="n"/>
      <c r="E22" s="65" t="n"/>
      <c r="F22" s="65" t="n">
        <v>0</v>
      </c>
      <c r="G22" s="65" t="n">
        <v>0</v>
      </c>
      <c r="H22" s="65" t="n">
        <v>0</v>
      </c>
      <c r="I22" s="64" t="inlineStr">
        <is>
          <t>Mốc 30/6/2020 | Đã xóa 2021 (68.300, chưa có nguồn) và 2022 (21.500, trùng nợ xấu 2020, nghi nhập nhầm)</t>
        </is>
      </c>
      <c r="J22" s="64" t="inlineStr">
        <is>
          <t>[15]</t>
        </is>
      </c>
      <c r="K22" s="64" t="inlineStr">
        <is>
          <t>B</t>
        </is>
      </c>
      <c r="L22" s="64" t="inlineStr">
        <is>
          <t>Cần số cuối 2020, 2021</t>
        </is>
      </c>
      <c r="M22" s="50" t="inlineStr">
        <is>
          <t>Một phần: Chỉ giữ số 30/6/2020 (52.846 tỷ, khớp báo chí); 2021, 2022 đã xóa</t>
        </is>
      </c>
    </row>
    <row r="23" ht="15" customHeight="1" s="47">
      <c r="A23" s="64" t="inlineStr">
        <is>
          <t>Tỷ trọng cho vay nông nghiệp–nông thôn</t>
        </is>
      </c>
      <c r="B23" s="64" t="inlineStr">
        <is>
          <t>%</t>
        </is>
      </c>
      <c r="C23" s="68" t="n">
        <v>0.6850000000000001</v>
      </c>
      <c r="D23" s="68" t="n">
        <v>0.672</v>
      </c>
      <c r="E23" s="68" t="n">
        <v>0.655</v>
      </c>
      <c r="F23" s="68" t="n">
        <v>0.627</v>
      </c>
      <c r="G23" s="68" t="n">
        <v>0.617</v>
      </c>
      <c r="H23" s="68" t="n">
        <v>0.641</v>
      </c>
      <c r="I23" s="64" t="inlineStr">
        <is>
          <t>/dư nợ nền kinh tế</t>
        </is>
      </c>
      <c r="J23" s="64" t="inlineStr">
        <is>
          <t>[1][39]</t>
        </is>
      </c>
      <c r="K23" s="64" t="inlineStr">
        <is>
          <t>A</t>
        </is>
      </c>
      <c r="L23" s="64" t="n"/>
      <c r="M23" s="50" t="inlineStr">
        <is>
          <t>Một phần: 2024 (61,7%) và 2025 (64,1%) khớp AR 2025; các năm khác chưa</t>
        </is>
      </c>
    </row>
    <row r="24" ht="15" customHeight="1" s="47">
      <c r="A24" s="64" t="inlineStr">
        <is>
          <t>Tài sản bảo đảm – tổng giá trị</t>
        </is>
      </c>
      <c r="B24" s="64" t="inlineStr">
        <is>
          <t>tỷ</t>
        </is>
      </c>
      <c r="C24" s="65" t="n">
        <v>2100000</v>
      </c>
      <c r="D24" s="65" t="n">
        <v>2327000</v>
      </c>
      <c r="E24" s="65" t="n">
        <v>2530000</v>
      </c>
      <c r="F24" s="65" t="n">
        <v>2850000</v>
      </c>
      <c r="G24" s="65" t="n">
        <v>3200000</v>
      </c>
      <c r="H24" s="65" t="n">
        <v>3650000</v>
      </c>
      <c r="I24" s="64" t="inlineStr">
        <is>
          <t>2024: "gần 3,2 triệu tỷ"</t>
        </is>
      </c>
      <c r="J24" s="64" t="inlineStr">
        <is>
          <t>[19][56]</t>
        </is>
      </c>
      <c r="K24" s="64" t="inlineStr">
        <is>
          <t>B</t>
        </is>
      </c>
      <c r="L24" s="64" t="n"/>
      <c r="M24" s="50" t="inlineStr">
        <is>
          <t>Một phần: 2021 đã sửa theo báo chí; 2022 khớp báo chí (BĐS 90,5% giá trị bảo đảm); các năm còn lại là số tròn, chưa kiểm chứng</t>
        </is>
      </c>
    </row>
    <row r="25" ht="15" customHeight="1" s="47">
      <c r="A25" s="64" t="inlineStr">
        <is>
          <t>Trong đó bất động sản</t>
        </is>
      </c>
      <c r="B25" s="64" t="inlineStr">
        <is>
          <t>tỷ</t>
        </is>
      </c>
      <c r="C25" s="65" t="n">
        <v>1900000</v>
      </c>
      <c r="D25" s="65" t="n">
        <v>2018000</v>
      </c>
      <c r="E25" s="65" t="n">
        <v>2290000</v>
      </c>
      <c r="F25" s="65" t="n">
        <v>2580000</v>
      </c>
      <c r="G25" s="65" t="n">
        <v>2900000</v>
      </c>
      <c r="H25" s="65" t="n">
        <v>3320000</v>
      </c>
      <c r="I25" s="64" t="inlineStr">
        <is>
          <t>2024 ≈92% | 2021 đã sửa theo báo chí dẫn BCTC riêng lẻ: tổng tài sản bảo đảm 2.327 nghìn tỷ, BĐS 2.018 nghìn tỷ (khoảng 87%)</t>
        </is>
      </c>
      <c r="J25" s="64" t="inlineStr">
        <is>
          <t>[19][56]</t>
        </is>
      </c>
      <c r="K25" s="64" t="inlineStr">
        <is>
          <t>B</t>
        </is>
      </c>
      <c r="L25" s="64" t="n"/>
      <c r="M25" s="50" t="inlineStr">
        <is>
          <t>Một phần: 2021 đã sửa; 2022 khớp báo chí; các năm còn lại chưa kiểm chứng</t>
        </is>
      </c>
    </row>
    <row r="26" ht="15" customHeight="1" s="47">
      <c r="A26" s="64" t="inlineStr">
        <is>
          <t>CAR (AR 2025)</t>
        </is>
      </c>
      <c r="B26" s="64" t="inlineStr">
        <is>
          <t>%</t>
        </is>
      </c>
      <c r="C26" s="68" t="n">
        <v>0.098</v>
      </c>
      <c r="D26" s="68" t="n">
        <v>0.105</v>
      </c>
      <c r="E26" s="68" t="n">
        <v>0.108</v>
      </c>
      <c r="F26" s="68" t="n">
        <v>0.092</v>
      </c>
      <c r="G26" s="68" t="n">
        <v>0.1136</v>
      </c>
      <c r="H26" s="68" t="n">
        <v>0.1022</v>
      </c>
      <c r="I26" s="64" t="inlineStr">
        <is>
          <t>Theo bảng chỉ tiêu AR 2025</t>
        </is>
      </c>
      <c r="J26" s="64" t="inlineStr">
        <is>
          <t>[39]</t>
        </is>
      </c>
      <c r="K26" s="64" t="inlineStr">
        <is>
          <t>A</t>
        </is>
      </c>
      <c r="L26" s="64" t="inlineStr">
        <is>
          <t>2020 cần bổ sung; 31/3/2020: 9,2% (TT 22)</t>
        </is>
      </c>
      <c r="M26" s="50" t="inlineStr">
        <is>
          <t>Một phần: 2021–2025 khớp AR 2025; 2020 chưa</t>
        </is>
      </c>
    </row>
    <row r="27" ht="15" customHeight="1" s="47">
      <c r="A27" s="64" t="inlineStr">
        <is>
          <t>CAR theo TT 41/2016 (ước)</t>
        </is>
      </c>
      <c r="B27" s="64" t="inlineStr">
        <is>
          <t>%</t>
        </is>
      </c>
      <c r="C27" s="69" t="n">
        <v>0.068</v>
      </c>
      <c r="D27" s="69" t="n">
        <v>0.07000000000000001</v>
      </c>
      <c r="E27" s="69" t="n">
        <v>0.07199999999999999</v>
      </c>
      <c r="F27" s="69" t="n">
        <v>0.075</v>
      </c>
      <c r="G27" s="69" t="n">
        <v>0.082</v>
      </c>
      <c r="H27" s="69" t="n">
        <v>0.091</v>
      </c>
      <c r="I27" s="64" t="inlineStr">
        <is>
          <t>Cuối 2021 ≈7%</t>
        </is>
      </c>
      <c r="J27" s="64" t="inlineStr">
        <is>
          <t>[22]</t>
        </is>
      </c>
      <c r="K27" s="64" t="inlineStr">
        <is>
          <t>B</t>
        </is>
      </c>
      <c r="L27" s="64" t="inlineStr">
        <is>
          <t>Cần số 2022–2025 nếu công bố</t>
        </is>
      </c>
      <c r="M27" s="50" t="inlineStr">
        <is>
          <t>CHƯA KIỂM CHỨNG: Ước của nhóm, không phải số công bố</t>
        </is>
      </c>
    </row>
    <row r="28" ht="15" customHeight="1" s="47">
      <c r="A28" s="64" t="inlineStr">
        <is>
          <t>NPL khách hàng cá nhân</t>
        </is>
      </c>
      <c r="B28" s="64" t="inlineStr">
        <is>
          <t>%</t>
        </is>
      </c>
      <c r="C28" s="68" t="n">
        <v>0.0115</v>
      </c>
      <c r="D28" s="68" t="n">
        <v>0.011</v>
      </c>
      <c r="E28" s="68" t="n">
        <v>0.0105</v>
      </c>
      <c r="F28" s="68" t="n">
        <v>0.0098</v>
      </c>
      <c r="G28" s="68" t="n">
        <v>0.008200000000000001</v>
      </c>
      <c r="H28" s="68" t="n">
        <v>0.0067</v>
      </c>
      <c r="I28" s="64" t="inlineStr">
        <is>
          <t>Cá nhân chiếm 74,9% dư nợ 2025</t>
        </is>
      </c>
      <c r="J28" s="64" t="inlineStr">
        <is>
          <t>[39]</t>
        </is>
      </c>
      <c r="K28" s="64" t="inlineStr">
        <is>
          <t>A</t>
        </is>
      </c>
      <c r="L28" s="64" t="n"/>
      <c r="M28" s="50" t="inlineStr">
        <is>
          <t>Một phần: 2025 (0,67%) khớp AR 2025; các năm khác chưa</t>
        </is>
      </c>
    </row>
    <row r="29" ht="15" customHeight="1" s="47">
      <c r="A29" s="62" t="inlineStr">
        <is>
          <t>B. MB (hợp nhất, trừ khi ghi riêng)</t>
        </is>
      </c>
      <c r="B29" s="63" t="n"/>
      <c r="C29" s="63" t="n"/>
      <c r="D29" s="63" t="n"/>
      <c r="E29" s="63" t="n"/>
      <c r="F29" s="63" t="n"/>
      <c r="G29" s="63" t="n"/>
      <c r="H29" s="63" t="n"/>
      <c r="I29" s="63" t="n"/>
      <c r="J29" s="63" t="n"/>
      <c r="K29" s="63" t="n"/>
      <c r="L29" s="63" t="n"/>
    </row>
    <row r="30" ht="15" customHeight="1" s="47">
      <c r="A30" s="64" t="inlineStr">
        <is>
          <t>NPL hợp nhất (không gồm TPDN)</t>
        </is>
      </c>
      <c r="B30" s="64" t="inlineStr">
        <is>
          <t>%</t>
        </is>
      </c>
      <c r="C30" s="68" t="n">
        <v>0.0109</v>
      </c>
      <c r="D30" s="68" t="n">
        <v>0.008999999999999999</v>
      </c>
      <c r="E30" s="68" t="n">
        <v>0.0109</v>
      </c>
      <c r="F30" s="68" t="n">
        <v>0.016</v>
      </c>
      <c r="G30" s="68" t="n">
        <v>0.0162</v>
      </c>
      <c r="H30" s="68" t="n">
        <v>0.0129</v>
      </c>
      <c r="I30" s="64" t="inlineStr">
        <is>
          <t>Nợ xấu/dư nợ cho vay</t>
        </is>
      </c>
      <c r="J30" s="64" t="inlineStr">
        <is>
          <t>[3][4][2][48][46]</t>
        </is>
      </c>
      <c r="K30" s="64" t="inlineStr">
        <is>
          <t>A</t>
        </is>
      </c>
      <c r="L30" s="64" t="inlineStr">
        <is>
          <t>2024: MB nêu 1,6%</t>
        </is>
      </c>
      <c r="M30" s="50" t="inlineStr">
        <is>
          <t>Một phần: 2021 (0,90%), 2022 (1,09%), 2023 (1,60%), 2024 (1,6%), 2025 (1,29%) đã kiểm chứng; 2020 (1,09%) một nguồn</t>
        </is>
      </c>
    </row>
    <row r="31" ht="15" customHeight="1" s="47">
      <c r="A31" s="64" t="inlineStr">
        <is>
          <t>Nợ xấu nhóm 3–5</t>
        </is>
      </c>
      <c r="B31" s="64" t="inlineStr">
        <is>
          <t>tỷ</t>
        </is>
      </c>
      <c r="C31" s="65" t="n">
        <v>3248</v>
      </c>
      <c r="D31" s="67">
        <f>D30*D33</f>
        <v/>
      </c>
      <c r="E31" s="65" t="n">
        <v>5031</v>
      </c>
      <c r="F31" s="65" t="n">
        <v>9804</v>
      </c>
      <c r="G31" s="65" t="n">
        <v>12585</v>
      </c>
      <c r="H31" s="65" t="n">
        <v>14027</v>
      </c>
      <c r="I31" s="64" t="n"/>
      <c r="J31" s="64" t="inlineStr">
        <is>
          <t>[10][6][40][48]</t>
        </is>
      </c>
      <c r="K31" s="64" t="inlineStr">
        <is>
          <t>B/C</t>
        </is>
      </c>
      <c r="L31" s="64" t="inlineStr">
        <is>
          <t>2021 suy ra = NPL × dư nợ</t>
        </is>
      </c>
      <c r="M31" s="50" t="inlineStr">
        <is>
          <t>Một phần: 2023 (9.804) đã kiểm chứng; 2022 (5.031) khớp mức tăng 94,9%; còn lại chưa</t>
        </is>
      </c>
    </row>
    <row r="32" ht="15" customHeight="1" s="47">
      <c r="A32" s="64" t="inlineStr">
        <is>
          <t>Tăng trưởng dư nợ 2025</t>
        </is>
      </c>
      <c r="B32" s="64" t="inlineStr">
        <is>
          <t>%</t>
        </is>
      </c>
      <c r="C32" s="68" t="n">
        <v>0.231</v>
      </c>
      <c r="D32" s="68" t="n">
        <v>0.219</v>
      </c>
      <c r="E32" s="68" t="n">
        <v>0.267</v>
      </c>
      <c r="F32" s="68" t="n">
        <v>0.327</v>
      </c>
      <c r="G32" s="68" t="n">
        <v>0.271</v>
      </c>
      <c r="H32" s="68" t="n">
        <v>0.396</v>
      </c>
      <c r="I32" s="64" t="n"/>
      <c r="J32" s="64" t="inlineStr">
        <is>
          <t>[45]</t>
        </is>
      </c>
      <c r="K32" s="64" t="inlineStr">
        <is>
          <t>B</t>
        </is>
      </c>
      <c r="L32" s="64" t="inlineStr">
        <is>
          <t>Dùng suy ra dư nợ 2024</t>
        </is>
      </c>
      <c r="M32" s="50" t="inlineStr">
        <is>
          <t>Một phần: 2022 (26,7%) và 2023 (32,7%) khớp; các năm khác chưa</t>
        </is>
      </c>
    </row>
    <row r="33" ht="15" customHeight="1" s="47">
      <c r="A33" s="64" t="inlineStr">
        <is>
          <t>Dư nợ cho vay khách hàng</t>
        </is>
      </c>
      <c r="B33" s="64" t="inlineStr">
        <is>
          <t>tỷ</t>
        </is>
      </c>
      <c r="C33" s="65" t="n">
        <v>298297</v>
      </c>
      <c r="D33" s="65" t="n">
        <v>363555</v>
      </c>
      <c r="E33" s="65" t="n">
        <v>460574</v>
      </c>
      <c r="F33" s="65" t="n">
        <v>611049</v>
      </c>
      <c r="G33" s="65" t="n">
        <v>776658</v>
      </c>
      <c r="H33" s="65" t="n">
        <v>1084000</v>
      </c>
      <c r="I33" s="64" t="inlineStr">
        <is>
          <t>Hợp nhất; 2025 ≈1,084 triệu tỷ</t>
        </is>
      </c>
      <c r="J33" s="64" t="inlineStr">
        <is>
          <t>[2][45]</t>
        </is>
      </c>
      <c r="K33" s="64" t="inlineStr">
        <is>
          <t>A/C</t>
        </is>
      </c>
      <c r="L33" s="64" t="inlineStr">
        <is>
          <t>2020, 2024 suy ra</t>
        </is>
      </c>
      <c r="M33" s="50" t="inlineStr">
        <is>
          <t>Một phần: 2022 (khoảng 460.600) và 2024 (776.658) đã kiểm chứng; các năm khác chưa</t>
        </is>
      </c>
    </row>
    <row r="34" ht="15" customHeight="1" s="47">
      <c r="A34" s="64" t="inlineStr">
        <is>
          <t>NPL riêng ngân hàng</t>
        </is>
      </c>
      <c r="B34" s="64" t="inlineStr">
        <is>
          <t>%</t>
        </is>
      </c>
      <c r="C34" s="68" t="n">
        <v>0.0092</v>
      </c>
      <c r="D34" s="68" t="n">
        <v>0.0068</v>
      </c>
      <c r="E34" s="68" t="n">
        <v>0.0083</v>
      </c>
      <c r="F34" s="68" t="n">
        <v>0.0141</v>
      </c>
      <c r="G34" s="68" t="n">
        <v>0.014</v>
      </c>
      <c r="H34" s="68" t="n">
        <v>0.0113</v>
      </c>
      <c r="I34" s="64" t="inlineStr">
        <is>
          <t>Riêng lẻ</t>
        </is>
      </c>
      <c r="J34" s="64" t="inlineStr">
        <is>
          <t>[3][4][2][41][46]</t>
        </is>
      </c>
      <c r="K34" s="64" t="inlineStr">
        <is>
          <t>A/B</t>
        </is>
      </c>
      <c r="L34" s="64" t="n"/>
      <c r="M34" s="50" t="inlineStr">
        <is>
          <t>Một phần: 2021 (0,68%), 2024 (1,4%), 2025 (1,13%) đã kiểm chứng; 2022, 2023 chưa</t>
        </is>
      </c>
    </row>
    <row r="35" ht="15" customHeight="1" s="47">
      <c r="A35" s="64" t="inlineStr">
        <is>
          <t>NPL trước liên đới CIC</t>
        </is>
      </c>
      <c r="B35" s="64" t="inlineStr">
        <is>
          <t>%</t>
        </is>
      </c>
      <c r="C35" s="69" t="n">
        <v>0.008500000000000001</v>
      </c>
      <c r="D35" s="69" t="n">
        <v>0.0062</v>
      </c>
      <c r="E35" s="69" t="n">
        <v>0.008</v>
      </c>
      <c r="F35" s="69" t="n">
        <v>0.0123</v>
      </c>
      <c r="G35" s="69" t="n">
        <v>0.012</v>
      </c>
      <c r="H35" s="69" t="n">
        <v>0.0095</v>
      </c>
      <c r="I35" s="64" t="n"/>
      <c r="J35" s="64" t="inlineStr">
        <is>
          <t>[2]</t>
        </is>
      </c>
      <c r="K35" s="64" t="inlineStr">
        <is>
          <t>A</t>
        </is>
      </c>
      <c r="L35" s="64" t="inlineStr">
        <is>
          <t>2025: bao phủ trước CIC ≈110%</t>
        </is>
      </c>
      <c r="M35" s="50" t="inlineStr">
        <is>
          <t>CHƯA KIỂM CHỨNG: Chưa có nguồn đối chiếu</t>
        </is>
      </c>
    </row>
    <row r="36" ht="15" customHeight="1" s="47">
      <c r="A36" s="64" t="inlineStr">
        <is>
          <t>LLCR hợp nhất</t>
        </is>
      </c>
      <c r="B36" s="64" t="inlineStr">
        <is>
          <t>%</t>
        </is>
      </c>
      <c r="C36" s="70" t="n">
        <v>1.589</v>
      </c>
      <c r="D36" s="70" t="n">
        <v>2.68</v>
      </c>
      <c r="E36" s="70" t="n">
        <v>2.38</v>
      </c>
      <c r="F36" s="70" t="n">
        <v>1.16</v>
      </c>
      <c r="G36" s="70" t="n">
        <v>0.92</v>
      </c>
      <c r="H36" s="70" t="n">
        <v>0.9399999999999999</v>
      </c>
      <c r="I36" s="64" t="n"/>
      <c r="J36" s="64" t="inlineStr">
        <is>
          <t>[3][34][5][6][47][46]</t>
        </is>
      </c>
      <c r="K36" s="64" t="inlineStr">
        <is>
          <t>A/B</t>
        </is>
      </c>
      <c r="L36" s="64" t="inlineStr">
        <is>
          <t>Q3/2025: 79–80%</t>
        </is>
      </c>
      <c r="M36" s="50" t="inlineStr">
        <is>
          <t>Một phần: 2022 (238%), 2023 (116–116,9%), 2025 (94% hợp nhất; khoảng 100% riêng lẻ) đã kiểm chứng; 2021 một nguồn ghi 233%; 2020, 2024 chưa</t>
        </is>
      </c>
    </row>
    <row r="37" ht="15" customHeight="1" s="47">
      <c r="A37" s="64" t="inlineStr">
        <is>
          <t>LLCR riêng ngân hàng</t>
        </is>
      </c>
      <c r="B37" s="64" t="inlineStr">
        <is>
          <t>%</t>
        </is>
      </c>
      <c r="C37" s="73" t="n">
        <v>1.75</v>
      </c>
      <c r="D37" s="73" t="n">
        <v>3.49</v>
      </c>
      <c r="E37" s="73" t="n">
        <v>3</v>
      </c>
      <c r="F37" s="73" t="n">
        <v>1.42</v>
      </c>
      <c r="G37" s="73" t="n">
        <v>1.12</v>
      </c>
      <c r="H37" s="73" t="n">
        <v>1</v>
      </c>
      <c r="I37" s="64" t="n"/>
      <c r="J37" s="64" t="inlineStr">
        <is>
          <t>[4][6][46]</t>
        </is>
      </c>
      <c r="K37" s="64" t="inlineStr">
        <is>
          <t>B</t>
        </is>
      </c>
      <c r="L37" s="64" t="n"/>
      <c r="M37" s="50" t="inlineStr">
        <is>
          <t>CHƯA KIỂM CHỨNG: Chưa có nguồn đối chiếu</t>
        </is>
      </c>
    </row>
    <row r="38" ht="15" customHeight="1" s="47">
      <c r="A38" s="64" t="inlineStr">
        <is>
          <t>Nợ nhóm 2</t>
        </is>
      </c>
      <c r="B38" s="64" t="inlineStr">
        <is>
          <t>tỷ</t>
        </is>
      </c>
      <c r="C38" s="72" t="n">
        <v>2190</v>
      </c>
      <c r="D38" s="72" t="n">
        <v>1593</v>
      </c>
      <c r="E38" s="72" t="n">
        <v>7809</v>
      </c>
      <c r="F38" s="72" t="n">
        <v>13917</v>
      </c>
      <c r="G38" s="72" t="n">
        <v>12197</v>
      </c>
      <c r="H38" s="72" t="n">
        <v>10210</v>
      </c>
      <c r="I38" s="64" t="n"/>
      <c r="J38" s="64" t="inlineStr">
        <is>
          <t>[6]</t>
        </is>
      </c>
      <c r="K38" s="64" t="inlineStr">
        <is>
          <t>B</t>
        </is>
      </c>
      <c r="L38" s="64" t="inlineStr">
        <is>
          <t>2020–21, 2024–25 cần bổ sung</t>
        </is>
      </c>
      <c r="M38" s="50" t="inlineStr">
        <is>
          <t>CHƯA KIỂM CHỨNG: Chưa kiểm chứng số cụ thể; xu hướng khớp (nhóm 2 cuối quý III/2023 cao hơn gấp đôi cuối 2022)</t>
        </is>
      </c>
    </row>
    <row r="39" ht="15" customHeight="1" s="47">
      <c r="A39" s="64" t="inlineStr">
        <is>
          <t>Tăng trưởng CPDP 2024 so 2023</t>
        </is>
      </c>
      <c r="B39" s="64" t="inlineStr">
        <is>
          <t>%</t>
        </is>
      </c>
      <c r="C39" s="74" t="n"/>
      <c r="D39" s="74" t="n"/>
      <c r="E39" s="74" t="n"/>
      <c r="F39" s="74" t="n"/>
      <c r="G39" s="69" t="n">
        <v>0.57</v>
      </c>
      <c r="H39" s="74" t="n"/>
      <c r="I39" s="64" t="n"/>
      <c r="J39" s="64" t="inlineStr">
        <is>
          <t>[41]</t>
        </is>
      </c>
      <c r="K39" s="64" t="inlineStr">
        <is>
          <t>B</t>
        </is>
      </c>
      <c r="L39" s="64" t="inlineStr">
        <is>
          <t>Cần xác minh (SHS, +57%)</t>
        </is>
      </c>
      <c r="M39" s="50" t="inlineStr">
        <is>
          <t>CHƯA KIỂM CHỨNG: Chưa có nguồn đối chiếu</t>
        </is>
      </c>
    </row>
    <row r="40" ht="23.25" customHeight="1" s="47">
      <c r="A40" s="64" t="inlineStr">
        <is>
          <t>Chi phí dự phòng</t>
        </is>
      </c>
      <c r="B40" s="64" t="inlineStr">
        <is>
          <t>tỷ</t>
        </is>
      </c>
      <c r="C40" s="72" t="n">
        <v>6118</v>
      </c>
      <c r="D40" s="72" t="n">
        <v>8030</v>
      </c>
      <c r="E40" s="72" t="n">
        <v>8048</v>
      </c>
      <c r="F40" s="72" t="n">
        <v>6087</v>
      </c>
      <c r="G40" s="72" t="n">
        <v>9576</v>
      </c>
      <c r="H40" s="72" t="n">
        <v>13744</v>
      </c>
      <c r="I40" s="64" t="inlineStr">
        <is>
          <t>Hợp nhất; 2024 suy ra; 2025 từ BCTC quý IV</t>
        </is>
      </c>
      <c r="J40" s="64" t="inlineStr">
        <is>
          <t>[2][45]</t>
        </is>
      </c>
      <c r="K40" s="64" t="inlineStr">
        <is>
          <t>A/C</t>
        </is>
      </c>
      <c r="L40" s="64" t="inlineStr">
        <is>
          <t>Nguồn báo chí nêu 2025 tăng 15,7% – mâu thuẫn với số suy ra, cần đối chiếu</t>
        </is>
      </c>
      <c r="M40" s="50" t="inlineStr">
        <is>
          <t>CHƯA KIỂM CHỨNG: Chưa mở lại báo cáo MB</t>
        </is>
      </c>
    </row>
    <row r="41" ht="15" customHeight="1" s="47">
      <c r="A41" s="64" t="inlineStr">
        <is>
          <t>Lợi nhuận trước thuế</t>
        </is>
      </c>
      <c r="B41" s="64" t="inlineStr">
        <is>
          <t>tỷ</t>
        </is>
      </c>
      <c r="C41" s="65" t="n">
        <v>10688</v>
      </c>
      <c r="D41" s="65" t="n">
        <v>16527</v>
      </c>
      <c r="E41" s="65" t="n">
        <v>22729</v>
      </c>
      <c r="F41" s="65" t="n">
        <v>26306</v>
      </c>
      <c r="G41" s="65" t="n">
        <v>28829</v>
      </c>
      <c r="H41" s="65" t="n">
        <v>34268</v>
      </c>
      <c r="I41" s="64" t="n"/>
      <c r="J41" s="64" t="inlineStr">
        <is>
          <t>[2][3][40]</t>
        </is>
      </c>
      <c r="K41" s="64" t="inlineStr">
        <is>
          <t>A</t>
        </is>
      </c>
      <c r="L41" s="64" t="inlineStr">
        <is>
          <t>2020: số ước</t>
        </is>
      </c>
      <c r="M41" s="50" t="inlineStr">
        <is>
          <t>Một phần: 2021 (16.527), 2022 (22.730), 2023 (26.300) khớp báo chí; 2020, 2024, 2025 chưa</t>
        </is>
      </c>
    </row>
    <row r="42" ht="15" customHeight="1" s="47">
      <c r="A42" s="64" t="inlineStr">
        <is>
          <t>Lợi nhuận trước chi phí dự phòng</t>
        </is>
      </c>
      <c r="B42" s="64" t="inlineStr">
        <is>
          <t>tỷ</t>
        </is>
      </c>
      <c r="C42" s="75" t="n">
        <v>16806</v>
      </c>
      <c r="D42" s="65" t="n">
        <v>24557</v>
      </c>
      <c r="E42" s="65" t="n">
        <v>30777</v>
      </c>
      <c r="F42" s="65" t="n">
        <v>32393</v>
      </c>
      <c r="G42" s="67">
        <f>G41+G40</f>
        <v/>
      </c>
      <c r="H42" s="65" t="n">
        <v>48012</v>
      </c>
      <c r="I42" s="64" t="inlineStr">
        <is>
          <t>LNTT cộng CPDP</t>
        </is>
      </c>
      <c r="J42" s="64" t="inlineStr">
        <is>
          <t>[2][45]</t>
        </is>
      </c>
      <c r="K42" s="64" t="inlineStr">
        <is>
          <t>A/C</t>
        </is>
      </c>
      <c r="L42" s="64" t="n"/>
      <c r="M42" s="50" t="inlineStr">
        <is>
          <t>Một phần: Suy ra = LNTT + CPDP</t>
        </is>
      </c>
    </row>
    <row r="43" ht="23.25" customHeight="1" s="47">
      <c r="A43" s="64" t="inlineStr">
        <is>
          <t>CAR hợp nhất</t>
        </is>
      </c>
      <c r="B43" s="64" t="inlineStr">
        <is>
          <t>%</t>
        </is>
      </c>
      <c r="C43" s="69" t="n">
        <v>0.1065</v>
      </c>
      <c r="D43" s="69" t="n">
        <v>0.1128</v>
      </c>
      <c r="E43" s="69" t="n">
        <v>0.1153</v>
      </c>
      <c r="F43" s="69" t="n">
        <v>0.1075</v>
      </c>
      <c r="G43" s="69" t="n">
        <v>0.118</v>
      </c>
      <c r="H43" s="69" t="n">
        <v>0.11</v>
      </c>
      <c r="I43" s="64" t="inlineStr">
        <is>
          <t>Theo AR 2025: 10,8% (2023); 11,8% (2024); 11,0% (2025)</t>
        </is>
      </c>
      <c r="J43" s="64" t="inlineStr">
        <is>
          <t>[2][40]</t>
        </is>
      </c>
      <c r="K43" s="64" t="inlineStr">
        <is>
          <t>A</t>
        </is>
      </c>
      <c r="L43" s="64" t="inlineStr">
        <is>
          <t>2024: nguồn khác nêu 11,4%</t>
        </is>
      </c>
      <c r="M43" s="50" t="inlineStr">
        <is>
          <t>CHƯA KIỂM CHỨNG: Chưa mở lại báo cáo MB</t>
        </is>
      </c>
    </row>
    <row r="44" ht="15" customHeight="1" s="47">
      <c r="A44" s="64" t="inlineStr">
        <is>
          <t>Dư nợ trái phiếu doanh nghiệp</t>
        </is>
      </c>
      <c r="B44" s="64" t="inlineStr">
        <is>
          <t>tỷ</t>
        </is>
      </c>
      <c r="C44" s="72" t="n">
        <v>25800</v>
      </c>
      <c r="D44" s="72" t="n">
        <v>46870</v>
      </c>
      <c r="E44" s="72" t="n">
        <v>66279</v>
      </c>
      <c r="F44" s="72" t="n">
        <v>47779</v>
      </c>
      <c r="G44" s="72" t="n">
        <v>34342</v>
      </c>
      <c r="H44" s="72" t="n">
        <v>28500</v>
      </c>
      <c r="I44" s="64" t="inlineStr">
        <is>
          <t>Cuối 2021 | CẢNH BÁO: báo cáo ABS quý I/2023 ghi TPDN 45.727 tỷ, giảm 3% so với cuối 2022 (khoảng 47.100 tỷ), không khớp 66.279 tỷ; có thể khác định nghĩa (chứng khoán nợ so với TPDN)</t>
        </is>
      </c>
      <c r="J44" s="64" t="inlineStr">
        <is>
          <t>[7][8]</t>
        </is>
      </c>
      <c r="K44" s="64" t="inlineStr">
        <is>
          <t>B</t>
        </is>
      </c>
      <c r="L44" s="64" t="inlineStr">
        <is>
          <t>Cần số 2022–2025</t>
        </is>
      </c>
      <c r="M44" s="50" t="inlineStr">
        <is>
          <t>CHƯA KIỂM CHỨNG: Xem cảnh báo ở cột Cơ sở; chỉ quý I/2023 (45.727) và 2021 (46.870) có nguồn</t>
        </is>
      </c>
    </row>
    <row r="45" ht="15" customHeight="1" s="47">
      <c r="A45" s="64" t="inlineStr">
        <is>
          <t>Dư nợ tín dụng hợp nhất gồm TPDN, mua nợ</t>
        </is>
      </c>
      <c r="B45" s="64" t="inlineStr">
        <is>
          <t>tỷ</t>
        </is>
      </c>
      <c r="C45" s="72" t="n">
        <v>324097</v>
      </c>
      <c r="D45" s="72" t="n">
        <v>410425</v>
      </c>
      <c r="E45" s="72" t="n">
        <v>526853</v>
      </c>
      <c r="F45" s="72" t="n">
        <v>651346</v>
      </c>
      <c r="G45" s="72" t="n">
        <v>811000</v>
      </c>
      <c r="H45" s="72" t="n">
        <v>1112500</v>
      </c>
      <c r="I45" s="64" t="inlineStr">
        <is>
          <t>2024: "hơn 811 nghìn tỷ"</t>
        </is>
      </c>
      <c r="J45" s="64" t="inlineStr">
        <is>
          <t>[2][41]</t>
        </is>
      </c>
      <c r="K45" s="64" t="inlineStr">
        <is>
          <t>A</t>
        </is>
      </c>
      <c r="L45" s="64" t="n"/>
      <c r="M45" s="50" t="inlineStr">
        <is>
          <t>CHƯA KIỂM CHỨNG: Chưa mở lại báo cáo MB</t>
        </is>
      </c>
    </row>
    <row r="46" ht="15" customHeight="1" s="47">
      <c r="A46" s="64" t="inlineStr">
        <is>
          <t>Hoàn nhập dự phòng từ danh mục cơ cấu Covid</t>
        </is>
      </c>
      <c r="B46" s="64" t="inlineStr">
        <is>
          <t>tỷ</t>
        </is>
      </c>
      <c r="C46" s="65" t="n">
        <v>0</v>
      </c>
      <c r="D46" s="65" t="n">
        <v>0</v>
      </c>
      <c r="E46" s="65" t="n">
        <v>1200</v>
      </c>
      <c r="F46" s="65" t="n">
        <v>4800</v>
      </c>
      <c r="G46" s="65" t="n">
        <v>2100</v>
      </c>
      <c r="H46" s="65" t="n">
        <v>950</v>
      </c>
      <c r="I46" s="64" t="inlineStr">
        <is>
          <t>"hơn 4.800 tỷ"</t>
        </is>
      </c>
      <c r="J46" s="64" t="inlineStr">
        <is>
          <t>[5]</t>
        </is>
      </c>
      <c r="K46" s="64" t="inlineStr">
        <is>
          <t>B</t>
        </is>
      </c>
      <c r="L46" s="64" t="inlineStr">
        <is>
          <t>Chưa rõ CPDP là số ròng hay gộp</t>
        </is>
      </c>
      <c r="M46" s="50" t="inlineStr">
        <is>
          <t>Một phần: 2023 (khoảng 4.800) theo báo Đầu tư; năm khác chưa</t>
        </is>
      </c>
    </row>
    <row r="47" ht="15" customHeight="1" s="47">
      <c r="A47" s="64" t="inlineStr">
        <is>
          <t>Nợ xấu quý III/2025 (nhóm 3+4+5)</t>
        </is>
      </c>
      <c r="B47" s="64" t="inlineStr">
        <is>
          <t>tỷ</t>
        </is>
      </c>
      <c r="C47" s="76" t="n"/>
      <c r="D47" s="76" t="n"/>
      <c r="E47" s="76" t="n"/>
      <c r="F47" s="76" t="n"/>
      <c r="G47" s="76" t="n"/>
      <c r="H47" s="65" t="n">
        <v>17423</v>
      </c>
      <c r="I47" s="64" t="inlineStr">
        <is>
          <t>4.818 + 7.126 + 5.479</t>
        </is>
      </c>
      <c r="J47" s="64" t="inlineStr">
        <is>
          <t>[47]</t>
        </is>
      </c>
      <c r="K47" s="64" t="inlineStr">
        <is>
          <t>B</t>
        </is>
      </c>
      <c r="L47" s="64" t="inlineStr">
        <is>
          <t>NPL Q3/2025 ≈1,87%</t>
        </is>
      </c>
      <c r="M47" s="50" t="inlineStr">
        <is>
          <t>Một phần: Nguồn báo chí (DNSE), chưa mở lại</t>
        </is>
      </c>
    </row>
    <row r="48" ht="15" customHeight="1" s="47">
      <c r="A48" s="64" t="inlineStr">
        <is>
          <t>Dư nợ cơ cấu TT 01/2020…02/2023</t>
        </is>
      </c>
      <c r="B48" s="64" t="inlineStr">
        <is>
          <t>tỷ</t>
        </is>
      </c>
      <c r="C48" s="72" t="n">
        <v>12500</v>
      </c>
      <c r="D48" s="72" t="n">
        <v>18200</v>
      </c>
      <c r="E48" s="72" t="n">
        <v>4600</v>
      </c>
      <c r="F48" s="72" t="n">
        <v>4200</v>
      </c>
      <c r="G48" s="72" t="n">
        <v>2800</v>
      </c>
      <c r="H48" s="72" t="n">
        <v>1200</v>
      </c>
      <c r="I48" s="64" t="n"/>
      <c r="J48" s="64" t="inlineStr">
        <is>
          <t>—</t>
        </is>
      </c>
      <c r="K48" s="64" t="inlineStr">
        <is>
          <t>—</t>
        </is>
      </c>
      <c r="L48" s="64" t="inlineStr">
        <is>
          <t>CẦN BỔ SUNG</t>
        </is>
      </c>
      <c r="M48" s="50" t="inlineStr">
        <is>
          <t>CHƯA KIỂM CHỨNG: Chưa có nguồn đối chiếu</t>
        </is>
      </c>
    </row>
    <row r="49" ht="15" customHeight="1" s="47">
      <c r="A49" s="64" t="inlineStr">
        <is>
          <t>Nợ xóa trong năm</t>
        </is>
      </c>
      <c r="B49" s="64" t="inlineStr">
        <is>
          <t>tỷ</t>
        </is>
      </c>
      <c r="C49" s="72" t="n">
        <v>3820</v>
      </c>
      <c r="D49" s="72" t="n">
        <v>4250</v>
      </c>
      <c r="E49" s="72" t="n">
        <v>5120</v>
      </c>
      <c r="F49" s="72" t="n">
        <v>4950</v>
      </c>
      <c r="G49" s="72" t="n">
        <v>7850</v>
      </c>
      <c r="H49" s="72" t="n">
        <v>11200</v>
      </c>
      <c r="I49" s="64" t="n"/>
      <c r="J49" s="64" t="inlineStr">
        <is>
          <t>—</t>
        </is>
      </c>
      <c r="K49" s="64" t="inlineStr">
        <is>
          <t>—</t>
        </is>
      </c>
      <c r="L49" s="64" t="inlineStr">
        <is>
          <t>CẦN BỔ SUNG</t>
        </is>
      </c>
      <c r="M49" s="50" t="inlineStr">
        <is>
          <t>CHƯA KIỂM CHỨNG: Chưa tìm thấy nguồn công khai; số tròn</t>
        </is>
      </c>
    </row>
    <row r="50" ht="15" customHeight="1" s="47">
      <c r="A50" s="64" t="inlineStr">
        <is>
          <t>Agribank – nợ xóa trong năm</t>
        </is>
      </c>
      <c r="B50" s="64" t="inlineStr">
        <is>
          <t>tỷ</t>
        </is>
      </c>
      <c r="C50" s="72" t="n">
        <v>16500</v>
      </c>
      <c r="D50" s="72" t="n">
        <v>18200</v>
      </c>
      <c r="E50" s="72" t="n">
        <v>21400</v>
      </c>
      <c r="F50" s="72" t="n">
        <v>17800</v>
      </c>
      <c r="G50" s="72" t="n">
        <v>24500</v>
      </c>
      <c r="H50" s="72" t="n">
        <v>29800</v>
      </c>
      <c r="I50" s="64" t="n"/>
      <c r="J50" s="64" t="inlineStr">
        <is>
          <t>—</t>
        </is>
      </c>
      <c r="K50" s="64" t="inlineStr">
        <is>
          <t>—</t>
        </is>
      </c>
      <c r="L50" s="64" t="inlineStr">
        <is>
          <t>CẦN BỔ SUNG</t>
        </is>
      </c>
      <c r="M50" s="50" t="inlineStr">
        <is>
          <t>CHƯA KIỂM CHỨNG: Chưa tìm thấy nguồn công khai; số tròn</t>
        </is>
      </c>
    </row>
    <row r="51" ht="15" customHeight="1" s="47">
      <c r="A51" s="62" t="inlineStr">
        <is>
          <t>C. HỆ THỐNG (benchmark)</t>
        </is>
      </c>
      <c r="B51" s="63" t="n"/>
      <c r="C51" s="63" t="n"/>
      <c r="D51" s="63" t="n"/>
      <c r="E51" s="63" t="n"/>
      <c r="F51" s="63" t="n"/>
      <c r="G51" s="63" t="n"/>
      <c r="H51" s="63" t="n"/>
      <c r="I51" s="63" t="n"/>
      <c r="J51" s="63" t="n"/>
      <c r="K51" s="63" t="n"/>
      <c r="L51" s="63" t="n"/>
    </row>
    <row r="52" ht="15" customHeight="1" s="47">
      <c r="A52" s="64" t="inlineStr">
        <is>
          <t>NPL nội bảng toàn hệ thống (NHNN, gồm NH yếu kém)</t>
        </is>
      </c>
      <c r="B52" s="64" t="inlineStr">
        <is>
          <t>%</t>
        </is>
      </c>
      <c r="C52" s="68" t="n">
        <v>0.0169</v>
      </c>
      <c r="D52" s="68" t="n">
        <v>0.0149</v>
      </c>
      <c r="E52" s="68" t="n">
        <v>0.0203</v>
      </c>
      <c r="F52" s="68" t="n">
        <v>0.0455</v>
      </c>
      <c r="G52" s="68" t="n">
        <v>0.0435</v>
      </c>
      <c r="H52" s="68" t="n">
        <v>0.0188</v>
      </c>
      <c r="I52" s="64" t="inlineStr">
        <is>
          <t>2024: ngân hàng thương mại</t>
        </is>
      </c>
      <c r="J52" s="64" t="inlineStr">
        <is>
          <t>[26][27][50]</t>
        </is>
      </c>
      <c r="K52" s="64" t="inlineStr">
        <is>
          <t>B</t>
        </is>
      </c>
      <c r="L52" s="64" t="inlineStr">
        <is>
          <t>2020 từ bản phác thảo; 2025 chưa có số NHNN cuối năm</t>
        </is>
      </c>
      <c r="M52" s="50" t="inlineStr">
        <is>
          <t>Một phần: 2020–2023 đã kiểm chứng (NHNN qua báo chí); 2024–2025 chưa</t>
        </is>
      </c>
    </row>
    <row r="53" ht="34.5" customHeight="1" s="47">
      <c r="A53" s="64" t="inlineStr">
        <is>
          <t>NPL mặt bằng ngân hàng bình thường</t>
        </is>
      </c>
      <c r="B53" s="64" t="inlineStr">
        <is>
          <t>%</t>
        </is>
      </c>
      <c r="C53" s="69" t="n">
        <v>0.0145</v>
      </c>
      <c r="D53" s="69" t="n">
        <v>0.0135</v>
      </c>
      <c r="E53" s="69" t="n">
        <v>0.0192</v>
      </c>
      <c r="F53" s="69" t="n">
        <v>0.0193</v>
      </c>
      <c r="G53" s="69" t="n">
        <v>0.0169</v>
      </c>
      <c r="H53" s="69" t="n">
        <v>0.0185</v>
      </c>
      <c r="I53" s="64" t="inlineStr">
        <is>
          <t>2024: NHNN loại trừ 5 ngân hàng kiểm soát đặc biệt; 2025: 27 NH niêm yết quý IV</t>
        </is>
      </c>
      <c r="J53" s="64" t="inlineStr">
        <is>
          <t>[12][16][50][52]</t>
        </is>
      </c>
      <c r="K53" s="64" t="inlineStr">
        <is>
          <t>B</t>
        </is>
      </c>
      <c r="L53" s="64" t="inlineStr">
        <is>
          <t>Khác phạm vi giữa các năm</t>
        </is>
      </c>
      <c r="M53" s="50" t="inlineStr">
        <is>
          <t>CHƯA KIỂM CHỨNG: Chưa có nguồn đối chiếu</t>
        </is>
      </c>
    </row>
    <row r="54" ht="15" customHeight="1" s="47">
      <c r="A54" s="64" t="inlineStr">
        <is>
          <t>Nợ nhóm 2 toàn hệ thống / dư nợ</t>
        </is>
      </c>
      <c r="B54" s="64" t="inlineStr">
        <is>
          <t>%</t>
        </is>
      </c>
      <c r="C54" s="69" t="n">
        <v>0.0152</v>
      </c>
      <c r="D54" s="69" t="n">
        <v>0.0138</v>
      </c>
      <c r="E54" s="69" t="n">
        <v>0.0165</v>
      </c>
      <c r="F54" s="69" t="n">
        <v>0.021</v>
      </c>
      <c r="G54" s="69" t="n">
        <v>0.0125</v>
      </c>
      <c r="H54" s="69" t="n">
        <v>0.0135</v>
      </c>
      <c r="I54" s="64" t="n"/>
      <c r="J54" s="64" t="inlineStr">
        <is>
          <t>[50]</t>
        </is>
      </c>
      <c r="K54" s="64" t="inlineStr">
        <is>
          <t>B</t>
        </is>
      </c>
      <c r="L54" s="64" t="n"/>
      <c r="M54" s="50" t="inlineStr">
        <is>
          <t>CHƯA KIỂM CHỨNG: Chưa có nguồn đối chiếu</t>
        </is>
      </c>
    </row>
    <row r="55" ht="23.25" customHeight="1" s="47">
      <c r="A55" s="64" t="inlineStr">
        <is>
          <t>Nợ cơ cấu TT 02 toàn hệ thống</t>
        </is>
      </c>
      <c r="B55" s="64" t="inlineStr">
        <is>
          <t>tỷ</t>
        </is>
      </c>
      <c r="C55" s="65" t="n">
        <v>0</v>
      </c>
      <c r="D55" s="65" t="n">
        <v>0</v>
      </c>
      <c r="E55" s="65" t="n">
        <v>0</v>
      </c>
      <c r="F55" s="65" t="n">
        <v>183500</v>
      </c>
      <c r="G55" s="65" t="n">
        <v>126400</v>
      </c>
      <c r="H55" s="65" t="n">
        <v>35000</v>
      </c>
      <c r="I55" s="64" t="inlineStr">
        <is>
          <t>2023: cuối năm; 2024: cuối quý III (TT 02 + TT 06)</t>
        </is>
      </c>
      <c r="J55" s="64" t="inlineStr">
        <is>
          <t>[30][50]</t>
        </is>
      </c>
      <c r="K55" s="64" t="inlineStr">
        <is>
          <t>B</t>
        </is>
      </c>
      <c r="L55" s="64" t="n"/>
      <c r="M55" s="50" t="inlineStr">
        <is>
          <t>Một phần: 2023 (183.500) đã kiểm chứng; năm khác chưa</t>
        </is>
      </c>
    </row>
    <row r="56" ht="15" customHeight="1" s="47">
      <c r="A56" s="64" t="inlineStr">
        <is>
          <t>Nợ xấu gộp (gồm VAMC, tiềm ẩn) / dư nợ</t>
        </is>
      </c>
      <c r="B56" s="64" t="inlineStr">
        <is>
          <t>%</t>
        </is>
      </c>
      <c r="C56" s="69" t="n">
        <v>0.0381</v>
      </c>
      <c r="D56" s="69" t="n">
        <v>0.0395</v>
      </c>
      <c r="E56" s="69" t="n">
        <v>0.045</v>
      </c>
      <c r="F56" s="69" t="n">
        <v>0.061</v>
      </c>
      <c r="G56" s="69" t="n">
        <v>0.0546</v>
      </c>
      <c r="H56" s="69" t="n">
        <v>0.0495</v>
      </c>
      <c r="I56" s="64" t="inlineStr">
        <is>
          <t>Hiệp hội Ngân hàng, 31/12/2024</t>
        </is>
      </c>
      <c r="J56" s="64" t="inlineStr">
        <is>
          <t>[51]</t>
        </is>
      </c>
      <c r="K56" s="64" t="inlineStr">
        <is>
          <t>B</t>
        </is>
      </c>
      <c r="L56" s="64" t="n"/>
      <c r="M56" s="50" t="inlineStr">
        <is>
          <t>CHƯA KIỂM CHỨNG: Chưa có nguồn đối chiếu</t>
        </is>
      </c>
    </row>
    <row r="57" ht="15" customHeight="1" s="47">
      <c r="A57" s="64" t="inlineStr">
        <is>
          <t>Thị phần dư nợ Agribank trong hệ thống</t>
        </is>
      </c>
      <c r="B57" s="64" t="inlineStr">
        <is>
          <t>%</t>
        </is>
      </c>
      <c r="C57" s="69" t="n">
        <v>0.132</v>
      </c>
      <c r="D57" s="69" t="n">
        <v>0.126</v>
      </c>
      <c r="E57" s="69" t="n">
        <v>0.121</v>
      </c>
      <c r="F57" s="69" t="n">
        <v>0.115</v>
      </c>
      <c r="G57" s="69" t="n">
        <v>0.111</v>
      </c>
      <c r="H57" s="69" t="n">
        <v>0.108</v>
      </c>
      <c r="I57" s="64" t="inlineStr">
        <is>
          <t>Ước</t>
        </is>
      </c>
      <c r="J57" s="64" t="inlineStr">
        <is>
          <t>[1]</t>
        </is>
      </c>
      <c r="K57" s="64" t="inlineStr">
        <is>
          <t>C</t>
        </is>
      </c>
      <c r="L57" s="64" t="inlineStr">
        <is>
          <t>Cần đối chiếu NHNN</t>
        </is>
      </c>
      <c r="M57" s="50" t="inlineStr">
        <is>
          <t>CHƯA KIỂM CHỨNG: Ước của nhóm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60"/>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zeroHeight="0" outlineLevelRow="0"/>
  <cols>
    <col width="58" customWidth="1" style="46" min="1" max="1"/>
    <col width="7" customWidth="1" style="46" min="2" max="2"/>
    <col width="11" customWidth="1" style="46" min="3" max="8"/>
    <col width="55" customWidth="1" style="46" min="9" max="9"/>
  </cols>
  <sheetData>
    <row r="1" ht="15" customHeight="1" s="47">
      <c r="A1" s="52" t="inlineStr">
        <is>
          <t>CHỈ TIÊU TÍNH TOÁN (toàn bộ là công thức liên kết sheet Du_lieu)</t>
        </is>
      </c>
    </row>
    <row r="3" ht="15" customHeight="1" s="47">
      <c r="A3" s="77" t="inlineStr">
        <is>
          <t>Chỉ tiêu</t>
        </is>
      </c>
      <c r="B3" s="77" t="inlineStr">
        <is>
          <t>Đơn vị</t>
        </is>
      </c>
      <c r="C3" s="77" t="inlineStr">
        <is>
          <t>2020</t>
        </is>
      </c>
      <c r="D3" s="77" t="inlineStr">
        <is>
          <t>2021</t>
        </is>
      </c>
      <c r="E3" s="77" t="inlineStr">
        <is>
          <t>2022</t>
        </is>
      </c>
      <c r="F3" s="77" t="inlineStr">
        <is>
          <t>2023</t>
        </is>
      </c>
      <c r="G3" s="77" t="inlineStr">
        <is>
          <t>2024</t>
        </is>
      </c>
      <c r="H3" s="77" t="inlineStr">
        <is>
          <t>2025</t>
        </is>
      </c>
      <c r="I3" s="77" t="inlineStr">
        <is>
          <t>Công thức / diễn giải</t>
        </is>
      </c>
    </row>
    <row r="4" ht="15" customHeight="1" s="47">
      <c r="A4" s="62" t="inlineStr">
        <is>
          <t>1. AGRIBANK</t>
        </is>
      </c>
      <c r="B4" s="63" t="n"/>
      <c r="C4" s="63" t="n"/>
      <c r="D4" s="63" t="n"/>
      <c r="E4" s="63" t="n"/>
      <c r="F4" s="63" t="n"/>
      <c r="G4" s="63" t="n"/>
      <c r="H4" s="63" t="n"/>
      <c r="I4" s="63" t="n"/>
    </row>
    <row r="5" ht="15" customHeight="1" s="47">
      <c r="A5" s="64" t="inlineStr">
        <is>
          <t>NPL tính lại = nợ xấu / dư nợ (chuỗi chính)</t>
        </is>
      </c>
      <c r="B5" s="60" t="inlineStr">
        <is>
          <t>%</t>
        </is>
      </c>
      <c r="C5" s="78">
        <f>IF(OR(Du_lieu!C8="",Du_lieu!C6=""),"",Du_lieu!C8/Du_lieu!C6)</f>
        <v/>
      </c>
      <c r="D5" s="78">
        <f>IF(OR(Du_lieu!D8="",Du_lieu!D6=""),"",Du_lieu!D8/Du_lieu!D6)</f>
        <v/>
      </c>
      <c r="E5" s="78">
        <f>IF(OR(Du_lieu!E8="",Du_lieu!E6=""),"",Du_lieu!E8/Du_lieu!E6)</f>
        <v/>
      </c>
      <c r="F5" s="78">
        <f>IF(OR(Du_lieu!F8="",Du_lieu!F6=""),"",Du_lieu!F8/Du_lieu!F6)</f>
        <v/>
      </c>
      <c r="G5" s="78">
        <f>IF(OR(Du_lieu!G8="",Du_lieu!G6=""),"",Du_lieu!G8/Du_lieu!G6)</f>
        <v/>
      </c>
      <c r="H5" s="78">
        <f>IF(OR(Du_lieu!H8="",Du_lieu!H6=""),"",Du_lieu!H8/Du_lieu!H6)</f>
        <v/>
      </c>
      <c r="I5" s="79" t="n"/>
    </row>
    <row r="6" ht="15" customHeight="1" s="47">
      <c r="A6" s="64" t="inlineStr">
        <is>
          <t>Tăng trưởng dư nợ so năm trước</t>
        </is>
      </c>
      <c r="B6" s="60" t="inlineStr">
        <is>
          <t>%</t>
        </is>
      </c>
      <c r="C6" s="78" t="n"/>
      <c r="D6" s="78">
        <f>Du_lieu!D6/Du_lieu!C6-1</f>
        <v/>
      </c>
      <c r="E6" s="78">
        <f>Du_lieu!E6/Du_lieu!D6-1</f>
        <v/>
      </c>
      <c r="F6" s="78">
        <f>Du_lieu!F6/Du_lieu!E6-1</f>
        <v/>
      </c>
      <c r="G6" s="78">
        <f>Du_lieu!G6/Du_lieu!F6-1</f>
        <v/>
      </c>
      <c r="H6" s="78">
        <f>Du_lieu!H6/Du_lieu!G6-1</f>
        <v/>
      </c>
      <c r="I6" s="79" t="n"/>
    </row>
    <row r="7" ht="15" customHeight="1" s="47">
      <c r="A7" s="64" t="inlineStr">
        <is>
          <t>Tăng trưởng nợ xấu (chuỗi chính)</t>
        </is>
      </c>
      <c r="B7" s="60" t="inlineStr">
        <is>
          <t>%</t>
        </is>
      </c>
      <c r="C7" s="78" t="n"/>
      <c r="D7" s="78">
        <f>Du_lieu!D8/Du_lieu!C8-1</f>
        <v/>
      </c>
      <c r="E7" s="78">
        <f>Du_lieu!E8/Du_lieu!D8-1</f>
        <v/>
      </c>
      <c r="F7" s="78">
        <f>Du_lieu!F8/Du_lieu!E8-1</f>
        <v/>
      </c>
      <c r="G7" s="78">
        <f>Du_lieu!G8/Du_lieu!F8-1</f>
        <v/>
      </c>
      <c r="H7" s="78">
        <f>Du_lieu!H8/Du_lieu!G8-1</f>
        <v/>
      </c>
      <c r="I7" s="79" t="n"/>
    </row>
    <row r="8" ht="15" customHeight="1" s="47">
      <c r="A8" s="64" t="inlineStr">
        <is>
          <t>Nợ xấu tăng nhanh hơn dư nợ (điểm %)</t>
        </is>
      </c>
      <c r="B8" s="60" t="inlineStr">
        <is>
          <t>đ.%</t>
        </is>
      </c>
      <c r="C8" s="78" t="n"/>
      <c r="D8" s="78">
        <f>D7-D6</f>
        <v/>
      </c>
      <c r="E8" s="78">
        <f>E7-E6</f>
        <v/>
      </c>
      <c r="F8" s="78">
        <f>F7-F6</f>
        <v/>
      </c>
      <c r="G8" s="78">
        <f>G7-G6</f>
        <v/>
      </c>
      <c r="H8" s="78">
        <f>H7-H6</f>
        <v/>
      </c>
      <c r="I8" s="79" t="n"/>
    </row>
    <row r="9" ht="15" customHeight="1" s="47">
      <c r="A9" s="64" t="inlineStr">
        <is>
          <t>Nợ xấu 2025 / 2020 (lần)</t>
        </is>
      </c>
      <c r="B9" s="60" t="inlineStr">
        <is>
          <t>lần</t>
        </is>
      </c>
      <c r="C9" s="80" t="n"/>
      <c r="D9" s="80" t="n"/>
      <c r="E9" s="80" t="n"/>
      <c r="F9" s="80" t="n"/>
      <c r="G9" s="80" t="n"/>
      <c r="H9" s="80">
        <f>Du_lieu!H8/Du_lieu!C8</f>
        <v/>
      </c>
      <c r="I9" s="79" t="n"/>
    </row>
    <row r="10" ht="15" customHeight="1" s="47">
      <c r="A10" s="64" t="inlineStr">
        <is>
          <t>Dự phòng ngụ ý = LLCR × nợ xấu hợp nhất</t>
        </is>
      </c>
      <c r="B10" s="60" t="inlineStr">
        <is>
          <t>tỷ</t>
        </is>
      </c>
      <c r="C10" s="81">
        <f>IF(OR(Du_lieu!C13="",Du_lieu!C9=""),"",Du_lieu!C13*Du_lieu!C9)</f>
        <v/>
      </c>
      <c r="D10" s="81">
        <f>IF(OR(Du_lieu!D13="",Du_lieu!D9=""),"",Du_lieu!D13*Du_lieu!D9)</f>
        <v/>
      </c>
      <c r="E10" s="81">
        <f>IF(OR(Du_lieu!E13="",Du_lieu!E9=""),"",Du_lieu!E13*Du_lieu!E9)</f>
        <v/>
      </c>
      <c r="F10" s="81">
        <f>IF(OR(Du_lieu!F13="",Du_lieu!F9=""),"",Du_lieu!F13*Du_lieu!F9)</f>
        <v/>
      </c>
      <c r="G10" s="81">
        <f>IF(OR(Du_lieu!G13="",Du_lieu!G9=""),"",Du_lieu!G13*Du_lieu!G9)</f>
        <v/>
      </c>
      <c r="H10" s="81">
        <f>IF(OR(Du_lieu!H13="",Du_lieu!H9=""),"",Du_lieu!H13*Du_lieu!H9)</f>
        <v/>
      </c>
      <c r="I10" s="79" t="n"/>
    </row>
    <row r="11" ht="15" customHeight="1" s="47">
      <c r="A11" s="64" t="inlineStr">
        <is>
          <t>Credit cost = CPDP / dư nợ bình quân</t>
        </is>
      </c>
      <c r="B11" s="60" t="inlineStr">
        <is>
          <t>%</t>
        </is>
      </c>
      <c r="C11" s="78" t="n"/>
      <c r="D11" s="78">
        <f>Du_lieu!D15/AVERAGE(Du_lieu!C6,Du_lieu!D6)</f>
        <v/>
      </c>
      <c r="E11" s="78">
        <f>Du_lieu!E15/AVERAGE(Du_lieu!D6,Du_lieu!E6)</f>
        <v/>
      </c>
      <c r="F11" s="78">
        <f>Du_lieu!F15/AVERAGE(Du_lieu!E6,Du_lieu!F6)</f>
        <v/>
      </c>
      <c r="G11" s="78">
        <f>Du_lieu!G15/AVERAGE(Du_lieu!F6,Du_lieu!G6)</f>
        <v/>
      </c>
      <c r="H11" s="78">
        <f>Du_lieu!H15/AVERAGE(Du_lieu!G6,Du_lieu!H6)</f>
        <v/>
      </c>
      <c r="I11" s="79" t="n"/>
    </row>
    <row r="12" ht="15" customHeight="1" s="47">
      <c r="A12" s="64" t="inlineStr">
        <is>
          <t>CPDP / lợi nhuận trước dự phòng = CPDP/(LNTT+CPDP)</t>
        </is>
      </c>
      <c r="B12" s="60" t="inlineStr">
        <is>
          <t>%</t>
        </is>
      </c>
      <c r="C12" s="78" t="n"/>
      <c r="D12" s="78">
        <f>Du_lieu!D15/(Du_lieu!D16+Du_lieu!D15)</f>
        <v/>
      </c>
      <c r="E12" s="78">
        <f>Du_lieu!E15/(Du_lieu!E16+Du_lieu!E15)</f>
        <v/>
      </c>
      <c r="F12" s="78">
        <f>Du_lieu!F15/(Du_lieu!F16+Du_lieu!F15)</f>
        <v/>
      </c>
      <c r="G12" s="78">
        <f>Du_lieu!G15/(Du_lieu!G16+Du_lieu!G15)</f>
        <v/>
      </c>
      <c r="H12" s="78">
        <f>Du_lieu!H15/(Du_lieu!H16+Du_lieu!H15)</f>
        <v/>
      </c>
      <c r="I12" s="79" t="n"/>
    </row>
    <row r="13" ht="15" customHeight="1" s="47">
      <c r="A13" s="64" t="inlineStr">
        <is>
          <t>Thu hồi nợ đã XLRR / CPDP</t>
        </is>
      </c>
      <c r="B13" s="60" t="inlineStr">
        <is>
          <t>%</t>
        </is>
      </c>
      <c r="C13" s="82">
        <f>Du_lieu!C17/Du_lieu!C15</f>
        <v/>
      </c>
      <c r="D13" s="82">
        <f>Du_lieu!D17/Du_lieu!D15</f>
        <v/>
      </c>
      <c r="E13" s="78">
        <f>Du_lieu!E17/Du_lieu!E15</f>
        <v/>
      </c>
      <c r="F13" s="78">
        <f>Du_lieu!F17/Du_lieu!F15</f>
        <v/>
      </c>
      <c r="G13" s="78">
        <f>Du_lieu!G17/Du_lieu!G15</f>
        <v/>
      </c>
      <c r="H13" s="78">
        <f>Du_lieu!H17/Du_lieu!H15</f>
        <v/>
      </c>
      <c r="I13" s="79" t="n"/>
    </row>
    <row r="14" ht="15" customHeight="1" s="47">
      <c r="A14" s="64" t="inlineStr">
        <is>
          <t>Nợ nhóm 5 / nợ xấu hợp nhất</t>
        </is>
      </c>
      <c r="B14" s="60" t="inlineStr">
        <is>
          <t>%</t>
        </is>
      </c>
      <c r="C14" s="82">
        <f>Du_lieu!C19/Du_lieu!C9</f>
        <v/>
      </c>
      <c r="D14" s="82">
        <f>Du_lieu!D19/Du_lieu!D9</f>
        <v/>
      </c>
      <c r="E14" s="78">
        <f>Du_lieu!E19/Du_lieu!E9</f>
        <v/>
      </c>
      <c r="F14" s="82">
        <f>Du_lieu!F19/Du_lieu!F9</f>
        <v/>
      </c>
      <c r="G14" s="78">
        <f>Du_lieu!G19/Du_lieu!G9</f>
        <v/>
      </c>
      <c r="H14" s="82">
        <f>Du_lieu!H19/Du_lieu!H9</f>
        <v/>
      </c>
      <c r="I14" s="79" t="inlineStr">
        <is>
          <t>2022 ≈73%; 2024 ≈78%</t>
        </is>
      </c>
    </row>
    <row r="15" ht="15" customHeight="1" s="47">
      <c r="A15" s="64" t="inlineStr">
        <is>
          <t>Nợ cơ cấu TT02/2023 / dư nợ</t>
        </is>
      </c>
      <c r="B15" s="60" t="inlineStr">
        <is>
          <t>%</t>
        </is>
      </c>
      <c r="C15" s="78" t="n"/>
      <c r="D15" s="78" t="n"/>
      <c r="E15" s="78" t="n"/>
      <c r="F15" s="78">
        <f>Du_lieu!F21/Du_lieu!F6</f>
        <v/>
      </c>
      <c r="G15" s="78" t="n"/>
      <c r="H15" s="78" t="n"/>
      <c r="I15" s="79" t="n"/>
    </row>
    <row r="16" ht="21.75" customHeight="1" s="47">
      <c r="A16" s="64" t="inlineStr">
        <is>
          <t>NPL điều chỉnh 2023 (cận trên) = (nợ xấu + nợ cơ cấu TT02)/dư nợ</t>
        </is>
      </c>
      <c r="B16" s="60" t="inlineStr">
        <is>
          <t>%</t>
        </is>
      </c>
      <c r="C16" s="78" t="n"/>
      <c r="D16" s="78" t="n"/>
      <c r="E16" s="78" t="n"/>
      <c r="F16" s="78">
        <f>(Du_lieu!F8+Du_lieu!F21)/Du_lieu!F6</f>
        <v/>
      </c>
      <c r="G16" s="78" t="n"/>
      <c r="H16" s="78" t="n"/>
      <c r="I16" s="79" t="inlineStr">
        <is>
          <t>Chỉ tiêu nhóm tự lập; coi toàn bộ nợ cơ cấu là nợ xấu tiềm ẩn nên là cận trên</t>
        </is>
      </c>
    </row>
    <row r="17" ht="15" customHeight="1" s="47">
      <c r="A17" s="64" t="inlineStr">
        <is>
          <t>Tỷ trọng nợ cơ cấu của Agribank trong toàn hệ thống (2023)</t>
        </is>
      </c>
      <c r="B17" s="60" t="inlineStr">
        <is>
          <t>%</t>
        </is>
      </c>
      <c r="C17" s="78" t="n"/>
      <c r="D17" s="78" t="n"/>
      <c r="E17" s="78" t="n"/>
      <c r="F17" s="78">
        <f>Du_lieu!F21/Du_lieu!F55</f>
        <v/>
      </c>
      <c r="G17" s="78" t="n"/>
      <c r="H17" s="78" t="n"/>
      <c r="I17" s="79" t="inlineStr">
        <is>
          <t>So với thị phần dư nợ ~11,5% (ước)</t>
        </is>
      </c>
    </row>
    <row r="18" ht="15" customHeight="1" s="47">
      <c r="A18" s="64" t="inlineStr">
        <is>
          <t>Giá trị TSBĐ là BĐS / dư nợ (lần)</t>
        </is>
      </c>
      <c r="B18" s="60" t="inlineStr">
        <is>
          <t>lần</t>
        </is>
      </c>
      <c r="C18" s="83">
        <f>Du_lieu!C25/Du_lieu!C6</f>
        <v/>
      </c>
      <c r="D18" s="83">
        <f>Du_lieu!D25/Du_lieu!D6</f>
        <v/>
      </c>
      <c r="E18" s="80">
        <f>Du_lieu!E25/Du_lieu!E6</f>
        <v/>
      </c>
      <c r="F18" s="83">
        <f>Du_lieu!F25/Du_lieu!F6</f>
        <v/>
      </c>
      <c r="G18" s="80">
        <f>Du_lieu!G25/Du_lieu!G6</f>
        <v/>
      </c>
      <c r="H18" s="83">
        <f>Du_lieu!H25/Du_lieu!H6</f>
        <v/>
      </c>
      <c r="I18" s="79" t="n"/>
    </row>
    <row r="19" ht="15" customHeight="1" s="47">
      <c r="A19" s="64" t="inlineStr">
        <is>
          <t>BĐS / tổng TSBĐ</t>
        </is>
      </c>
      <c r="B19" s="60" t="inlineStr">
        <is>
          <t>%</t>
        </is>
      </c>
      <c r="C19" s="82">
        <f>Du_lieu!C25/Du_lieu!C24</f>
        <v/>
      </c>
      <c r="D19" s="82">
        <f>Du_lieu!D25/Du_lieu!D24</f>
        <v/>
      </c>
      <c r="E19" s="78">
        <f>Du_lieu!E25/Du_lieu!E24</f>
        <v/>
      </c>
      <c r="F19" s="82">
        <f>Du_lieu!F25/Du_lieu!F24</f>
        <v/>
      </c>
      <c r="G19" s="78">
        <f>Du_lieu!G25/Du_lieu!G24</f>
        <v/>
      </c>
      <c r="H19" s="82">
        <f>Du_lieu!H25/Du_lieu!H24</f>
        <v/>
      </c>
      <c r="I19" s="79" t="n"/>
    </row>
    <row r="20" ht="15" customHeight="1" s="47">
      <c r="A20" s="64" t="inlineStr">
        <is>
          <t>Thu nhập thuần HĐ khác / LNTT 2023</t>
        </is>
      </c>
      <c r="B20" s="60" t="inlineStr">
        <is>
          <t>%</t>
        </is>
      </c>
      <c r="C20" s="78" t="n"/>
      <c r="D20" s="78" t="n"/>
      <c r="E20" s="78" t="n"/>
      <c r="F20" s="78">
        <f>Du_lieu!F18/Du_lieu!F16</f>
        <v/>
      </c>
      <c r="G20" s="78" t="n"/>
      <c r="H20" s="78" t="n"/>
      <c r="I20" s="79" t="inlineStr">
        <is>
          <t>Phản ánh phụ thuộc thu hồi nợ đã xử lý</t>
        </is>
      </c>
    </row>
    <row r="21" ht="15" customHeight="1" s="47">
      <c r="A21" s="62" t="inlineStr">
        <is>
          <t>2. MB (hợp nhất)</t>
        </is>
      </c>
      <c r="B21" s="63" t="n"/>
      <c r="C21" s="63" t="n"/>
      <c r="D21" s="63" t="n"/>
      <c r="E21" s="63" t="n"/>
      <c r="F21" s="63" t="n"/>
      <c r="G21" s="63" t="n"/>
      <c r="H21" s="63" t="n"/>
      <c r="I21" s="63" t="n"/>
    </row>
    <row r="22" ht="15" customHeight="1" s="47">
      <c r="A22" s="64" t="inlineStr">
        <is>
          <t>NPL tính lại = nợ xấu / dư nợ</t>
        </is>
      </c>
      <c r="B22" s="60" t="inlineStr">
        <is>
          <t>%</t>
        </is>
      </c>
      <c r="C22" s="78">
        <f>IF(OR(Du_lieu!C31="",Du_lieu!C33=""),"",Du_lieu!C31/Du_lieu!C33)</f>
        <v/>
      </c>
      <c r="D22" s="78">
        <f>IF(OR(Du_lieu!D31="",Du_lieu!D33=""),"",Du_lieu!D31/Du_lieu!D33)</f>
        <v/>
      </c>
      <c r="E22" s="78">
        <f>IF(OR(Du_lieu!E31="",Du_lieu!E33=""),"",Du_lieu!E31/Du_lieu!E33)</f>
        <v/>
      </c>
      <c r="F22" s="78">
        <f>IF(OR(Du_lieu!F31="",Du_lieu!F33=""),"",Du_lieu!F31/Du_lieu!F33)</f>
        <v/>
      </c>
      <c r="G22" s="78">
        <f>IF(OR(Du_lieu!G31="",Du_lieu!G33=""),"",Du_lieu!G31/Du_lieu!G33)</f>
        <v/>
      </c>
      <c r="H22" s="78">
        <f>IF(OR(Du_lieu!H31="",Du_lieu!H33=""),"",Du_lieu!H31/Du_lieu!H33)</f>
        <v/>
      </c>
      <c r="I22" s="79" t="n"/>
    </row>
    <row r="23" ht="15" customHeight="1" s="47">
      <c r="A23" s="64" t="inlineStr">
        <is>
          <t>Tăng trưởng dư nợ</t>
        </is>
      </c>
      <c r="B23" s="60" t="inlineStr">
        <is>
          <t>%</t>
        </is>
      </c>
      <c r="C23" s="78" t="n"/>
      <c r="D23" s="78">
        <f>Du_lieu!D33/Du_lieu!C33-1</f>
        <v/>
      </c>
      <c r="E23" s="78">
        <f>Du_lieu!E33/Du_lieu!D33-1</f>
        <v/>
      </c>
      <c r="F23" s="78">
        <f>Du_lieu!F33/Du_lieu!E33-1</f>
        <v/>
      </c>
      <c r="G23" s="78">
        <f>Du_lieu!G33/Du_lieu!F33-1</f>
        <v/>
      </c>
      <c r="H23" s="78">
        <f>Du_lieu!H33/Du_lieu!G33-1</f>
        <v/>
      </c>
      <c r="I23" s="79" t="n"/>
    </row>
    <row r="24" ht="15" customHeight="1" s="47">
      <c r="A24" s="64" t="inlineStr">
        <is>
          <t>Tăng trưởng nợ xấu</t>
        </is>
      </c>
      <c r="B24" s="60" t="inlineStr">
        <is>
          <t>%</t>
        </is>
      </c>
      <c r="C24" s="78" t="n"/>
      <c r="D24" s="78">
        <f>Du_lieu!D31/Du_lieu!C31-1</f>
        <v/>
      </c>
      <c r="E24" s="78">
        <f>Du_lieu!E31/Du_lieu!D31-1</f>
        <v/>
      </c>
      <c r="F24" s="78">
        <f>Du_lieu!F31/Du_lieu!E31-1</f>
        <v/>
      </c>
      <c r="G24" s="78">
        <f>Du_lieu!G31/Du_lieu!F31-1</f>
        <v/>
      </c>
      <c r="H24" s="78">
        <f>Du_lieu!H31/Du_lieu!G31-1</f>
        <v/>
      </c>
      <c r="I24" s="79" t="n"/>
    </row>
    <row r="25" ht="15" customHeight="1" s="47">
      <c r="A25" s="64" t="inlineStr">
        <is>
          <t>Nợ xấu tăng nhanh hơn dư nợ (điểm %)</t>
        </is>
      </c>
      <c r="B25" s="60" t="inlineStr">
        <is>
          <t>đ.%</t>
        </is>
      </c>
      <c r="C25" s="78" t="n"/>
      <c r="D25" s="78">
        <f>D24-D23</f>
        <v/>
      </c>
      <c r="E25" s="78">
        <f>E24-E23</f>
        <v/>
      </c>
      <c r="F25" s="78">
        <f>F24-F23</f>
        <v/>
      </c>
      <c r="G25" s="78">
        <f>G24-G23</f>
        <v/>
      </c>
      <c r="H25" s="78">
        <f>H24-H23</f>
        <v/>
      </c>
      <c r="I25" s="79" t="n"/>
    </row>
    <row r="26" ht="15" customHeight="1" s="47">
      <c r="A26" s="64" t="inlineStr">
        <is>
          <t>Nợ xấu 2025 / 2020 (lần)</t>
        </is>
      </c>
      <c r="B26" s="60" t="inlineStr">
        <is>
          <t>lần</t>
        </is>
      </c>
      <c r="C26" s="80" t="n"/>
      <c r="D26" s="80" t="n"/>
      <c r="E26" s="80" t="n"/>
      <c r="F26" s="80" t="n"/>
      <c r="G26" s="80" t="n"/>
      <c r="H26" s="80">
        <f>Du_lieu!H31/Du_lieu!C31</f>
        <v/>
      </c>
      <c r="I26" s="79" t="n"/>
    </row>
    <row r="27" ht="15" customHeight="1" s="47">
      <c r="A27" s="64" t="inlineStr">
        <is>
          <t>Nhóm 2 / dư nợ</t>
        </is>
      </c>
      <c r="B27" s="60" t="inlineStr">
        <is>
          <t>%</t>
        </is>
      </c>
      <c r="C27" s="82">
        <f>IF(OR(Du_lieu!C38="",Du_lieu!C33=""),"",Du_lieu!C38/Du_lieu!C33)</f>
        <v/>
      </c>
      <c r="D27" s="82">
        <f>IF(OR(Du_lieu!D38="",Du_lieu!D33=""),"",Du_lieu!D38/Du_lieu!D33)</f>
        <v/>
      </c>
      <c r="E27" s="78">
        <f>IF(OR(Du_lieu!E38="",Du_lieu!E33=""),"",Du_lieu!E38/Du_lieu!E33)</f>
        <v/>
      </c>
      <c r="F27" s="78">
        <f>IF(OR(Du_lieu!F38="",Du_lieu!F33=""),"",Du_lieu!F38/Du_lieu!F33)</f>
        <v/>
      </c>
      <c r="G27" s="82">
        <f>IF(OR(Du_lieu!G38="",Du_lieu!G33=""),"",Du_lieu!G38/Du_lieu!G33)</f>
        <v/>
      </c>
      <c r="H27" s="82">
        <f>IF(OR(Du_lieu!H38="",Du_lieu!H33=""),"",Du_lieu!H38/Du_lieu!H33)</f>
        <v/>
      </c>
      <c r="I27" s="79" t="n"/>
    </row>
    <row r="28" ht="15" customHeight="1" s="47">
      <c r="A28" s="64" t="inlineStr">
        <is>
          <t>Nhóm 2–5 / dư nợ</t>
        </is>
      </c>
      <c r="B28" s="60" t="inlineStr">
        <is>
          <t>%</t>
        </is>
      </c>
      <c r="C28" s="82">
        <f>(Du_lieu!C38+Du_lieu!C31)/Du_lieu!C33</f>
        <v/>
      </c>
      <c r="D28" s="82">
        <f>(Du_lieu!D38+Du_lieu!D31)/Du_lieu!D33</f>
        <v/>
      </c>
      <c r="E28" s="78">
        <f>(Du_lieu!E38+Du_lieu!E31)/Du_lieu!E33</f>
        <v/>
      </c>
      <c r="F28" s="78">
        <f>(Du_lieu!F38+Du_lieu!F31)/Du_lieu!F33</f>
        <v/>
      </c>
      <c r="G28" s="82">
        <f>(Du_lieu!G38+Du_lieu!G31)/Du_lieu!G33</f>
        <v/>
      </c>
      <c r="H28" s="82">
        <f>(Du_lieu!H38+Du_lieu!H31)/Du_lieu!H33</f>
        <v/>
      </c>
      <c r="I28" s="79" t="n"/>
    </row>
    <row r="29" ht="15" customHeight="1" s="47">
      <c r="A29" s="64" t="inlineStr">
        <is>
          <t>Tăng trưởng nhóm 2 năm 2023</t>
        </is>
      </c>
      <c r="B29" s="60" t="inlineStr">
        <is>
          <t>%</t>
        </is>
      </c>
      <c r="C29" s="78" t="n"/>
      <c r="D29" s="82">
        <f>Du_lieu!D38/Du_lieu!C38-1</f>
        <v/>
      </c>
      <c r="E29" s="82">
        <f>Du_lieu!E38/Du_lieu!D38-1</f>
        <v/>
      </c>
      <c r="F29" s="78">
        <f>Du_lieu!F38/Du_lieu!E38-1</f>
        <v/>
      </c>
      <c r="G29" s="82">
        <f>Du_lieu!G38/Du_lieu!F38-1</f>
        <v/>
      </c>
      <c r="H29" s="82">
        <f>Du_lieu!H38/Du_lieu!G38-1</f>
        <v/>
      </c>
      <c r="I29" s="79" t="n"/>
    </row>
    <row r="30" ht="15" customHeight="1" s="47">
      <c r="A30" s="64" t="inlineStr">
        <is>
          <t>Dự phòng ngụ ý = LLCR × nợ xấu</t>
        </is>
      </c>
      <c r="B30" s="60" t="inlineStr">
        <is>
          <t>tỷ</t>
        </is>
      </c>
      <c r="C30" s="81">
        <f>Du_lieu!C36*Du_lieu!C31</f>
        <v/>
      </c>
      <c r="D30" s="81">
        <f>Du_lieu!D36*Du_lieu!D31</f>
        <v/>
      </c>
      <c r="E30" s="81">
        <f>Du_lieu!E36*Du_lieu!E31</f>
        <v/>
      </c>
      <c r="F30" s="81">
        <f>Du_lieu!F36*Du_lieu!F31</f>
        <v/>
      </c>
      <c r="G30" s="81">
        <f>Du_lieu!G36*Du_lieu!G31</f>
        <v/>
      </c>
      <c r="H30" s="81">
        <f>Du_lieu!H36*Du_lieu!H31</f>
        <v/>
      </c>
      <c r="I30" s="79" t="n"/>
    </row>
    <row r="31" ht="15" customHeight="1" s="47">
      <c r="A31" s="64" t="inlineStr">
        <is>
          <t>Credit cost = CPDP / dư nợ bình quân</t>
        </is>
      </c>
      <c r="B31" s="60" t="inlineStr">
        <is>
          <t>%</t>
        </is>
      </c>
      <c r="C31" s="78" t="n"/>
      <c r="D31" s="78">
        <f>Du_lieu!D40/AVERAGE(Du_lieu!C33,Du_lieu!D33)</f>
        <v/>
      </c>
      <c r="E31" s="78">
        <f>Du_lieu!E40/AVERAGE(Du_lieu!D33,Du_lieu!E33)</f>
        <v/>
      </c>
      <c r="F31" s="78">
        <f>Du_lieu!F40/AVERAGE(Du_lieu!E33,Du_lieu!F33)</f>
        <v/>
      </c>
      <c r="G31" s="78">
        <f>Du_lieu!G40/AVERAGE(Du_lieu!F33,Du_lieu!G33)</f>
        <v/>
      </c>
      <c r="H31" s="78">
        <f>Du_lieu!H40/AVERAGE(Du_lieu!G33,Du_lieu!H33)</f>
        <v/>
      </c>
      <c r="I31" s="79" t="n"/>
    </row>
    <row r="32" ht="15" customHeight="1" s="47">
      <c r="A32" s="64" t="inlineStr">
        <is>
          <t>Credit cost 2023 ước nếu CPDP là số ròng sau hoàn nhập 4.800 tỷ</t>
        </is>
      </c>
      <c r="B32" s="60" t="inlineStr">
        <is>
          <t>%</t>
        </is>
      </c>
      <c r="C32" s="78" t="n"/>
      <c r="D32" s="78" t="n"/>
      <c r="E32" s="78" t="n"/>
      <c r="F32" s="78">
        <f>(Du_lieu!F40+Du_lieu!F46)/AVERAGE(Du_lieu!E33,Du_lieu!F33)</f>
        <v/>
      </c>
      <c r="G32" s="78" t="n"/>
      <c r="H32" s="78" t="n"/>
      <c r="I32" s="79" t="inlineStr">
        <is>
          <t>Giả định – cần xác minh trong thuyết minh</t>
        </is>
      </c>
    </row>
    <row r="33" ht="15" customHeight="1" s="47">
      <c r="A33" s="64" t="inlineStr">
        <is>
          <t>CPDP / lợi nhuận trước dự phòng</t>
        </is>
      </c>
      <c r="B33" s="60" t="inlineStr">
        <is>
          <t>%</t>
        </is>
      </c>
      <c r="C33" s="78" t="n"/>
      <c r="D33" s="78">
        <f>Du_lieu!D40/Du_lieu!D42</f>
        <v/>
      </c>
      <c r="E33" s="78">
        <f>Du_lieu!E40/Du_lieu!E42</f>
        <v/>
      </c>
      <c r="F33" s="78">
        <f>Du_lieu!F40/Du_lieu!F42</f>
        <v/>
      </c>
      <c r="G33" s="78">
        <f>Du_lieu!G40/Du_lieu!G42</f>
        <v/>
      </c>
      <c r="H33" s="78">
        <f>Du_lieu!H40/Du_lieu!H42</f>
        <v/>
      </c>
      <c r="I33" s="79" t="n"/>
    </row>
    <row r="34" ht="15" customHeight="1" s="47">
      <c r="A34" s="64" t="inlineStr">
        <is>
          <t>Dư nợ suy ra cuối Q3/2023 (NPL 1,89%, nợ xấu 10.111 tỷ)</t>
        </is>
      </c>
      <c r="B34" s="60" t="inlineStr">
        <is>
          <t>tỷ</t>
        </is>
      </c>
      <c r="C34" s="81" t="n"/>
      <c r="D34" s="81" t="n"/>
      <c r="E34" s="81" t="n"/>
      <c r="F34" s="81">
        <f>10111/0.0189</f>
        <v/>
      </c>
      <c r="G34" s="81" t="n"/>
      <c r="H34" s="81" t="n"/>
      <c r="I34" s="79" t="inlineStr">
        <is>
          <t>Tham số Q3/2023 từ báo chí</t>
        </is>
      </c>
    </row>
    <row r="35" ht="15" customHeight="1" s="47">
      <c r="A35" s="64" t="inlineStr">
        <is>
          <t>Tăng dư nợ quý IV/2023 (suy ra)</t>
        </is>
      </c>
      <c r="B35" s="60" t="inlineStr">
        <is>
          <t>%</t>
        </is>
      </c>
      <c r="C35" s="78" t="n"/>
      <c r="D35" s="78" t="n"/>
      <c r="E35" s="78" t="n"/>
      <c r="F35" s="78">
        <f>Du_lieu!F33/F34-1</f>
        <v/>
      </c>
      <c r="G35" s="78" t="n"/>
      <c r="H35" s="78" t="n"/>
      <c r="I35" s="79" t="n"/>
    </row>
    <row r="36" ht="15" customHeight="1" s="47">
      <c r="A36" s="64" t="inlineStr">
        <is>
          <t>Giảm nợ xấu quý IV/2025 so quý III (tỷ)</t>
        </is>
      </c>
      <c r="B36" s="60" t="inlineStr">
        <is>
          <t>tỷ</t>
        </is>
      </c>
      <c r="C36" s="81" t="n"/>
      <c r="D36" s="81" t="n"/>
      <c r="E36" s="81" t="n"/>
      <c r="F36" s="81" t="n"/>
      <c r="G36" s="81" t="n"/>
      <c r="H36" s="81">
        <f>Du_lieu!H47-Du_lieu!H31</f>
        <v/>
      </c>
      <c r="I36" s="79" t="inlineStr">
        <is>
          <t>Nợ xấu quý III 17.423 → cuối năm 14.027</t>
        </is>
      </c>
    </row>
    <row r="37" ht="15" customHeight="1" s="47">
      <c r="A37" s="64" t="inlineStr">
        <is>
          <t>Tỷ trọng TPDN+mua nợ trong dư nợ tín dụng hợp nhất 2023</t>
        </is>
      </c>
      <c r="B37" s="60" t="inlineStr">
        <is>
          <t>%</t>
        </is>
      </c>
      <c r="C37" s="78" t="n"/>
      <c r="D37" s="78" t="n"/>
      <c r="E37" s="78" t="n"/>
      <c r="F37" s="78">
        <f>(Du_lieu!F45-Du_lieu!F33)/Du_lieu!F45</f>
        <v/>
      </c>
      <c r="G37" s="78" t="n"/>
      <c r="H37" s="78" t="n"/>
      <c r="I37" s="79" t="n"/>
    </row>
    <row r="38" ht="15" customHeight="1" s="47">
      <c r="A38" s="64" t="inlineStr">
        <is>
          <t>NPL sau – trước liên đới CIC 2023 (điểm %)</t>
        </is>
      </c>
      <c r="B38" s="60" t="inlineStr">
        <is>
          <t>đ.%</t>
        </is>
      </c>
      <c r="C38" s="78" t="n"/>
      <c r="D38" s="78" t="n"/>
      <c r="E38" s="78" t="n"/>
      <c r="F38" s="78">
        <f>Du_lieu!F30-Du_lieu!F35</f>
        <v/>
      </c>
      <c r="G38" s="78" t="n"/>
      <c r="H38" s="78" t="n"/>
      <c r="I38" s="79" t="n"/>
    </row>
    <row r="39" ht="15" customHeight="1" s="47">
      <c r="A39" s="62" t="inlineStr">
        <is>
          <t>3. SO SÁNH AGRIBANK – MB (độ nhạy theo chuỗi NPL)</t>
        </is>
      </c>
      <c r="B39" s="63" t="n"/>
      <c r="C39" s="63" t="n"/>
      <c r="D39" s="63" t="n"/>
      <c r="E39" s="63" t="n"/>
      <c r="F39" s="63" t="n"/>
      <c r="G39" s="63" t="n"/>
      <c r="H39" s="63" t="n"/>
      <c r="I39" s="63" t="n"/>
    </row>
    <row r="40" ht="15" customHeight="1" s="47">
      <c r="A40" s="64" t="inlineStr">
        <is>
          <t>Chênh NPL: Agribank (chuỗi chính) − MB hợp nhất</t>
        </is>
      </c>
      <c r="B40" s="60" t="inlineStr">
        <is>
          <t>đ.%</t>
        </is>
      </c>
      <c r="C40" s="78">
        <f>Du_lieu!C7-Du_lieu!C30</f>
        <v/>
      </c>
      <c r="D40" s="78">
        <f>Du_lieu!D7-Du_lieu!D30</f>
        <v/>
      </c>
      <c r="E40" s="78">
        <f>Du_lieu!E7-Du_lieu!E30</f>
        <v/>
      </c>
      <c r="F40" s="78">
        <f>Du_lieu!F7-Du_lieu!F30</f>
        <v/>
      </c>
      <c r="G40" s="78">
        <f>Du_lieu!G7-Du_lieu!G30</f>
        <v/>
      </c>
      <c r="H40" s="78">
        <f>Du_lieu!H7-Du_lieu!H30</f>
        <v/>
      </c>
      <c r="I40" s="79" t="n"/>
    </row>
    <row r="41" ht="23.25" customHeight="1" s="47">
      <c r="A41" s="64" t="inlineStr">
        <is>
          <t>Chênh NPL: Agribank (chuỗi chính) − MB riêng ngân hàng (so sánh cùng phạm vi)</t>
        </is>
      </c>
      <c r="B41" s="60" t="inlineStr">
        <is>
          <t>đ.%</t>
        </is>
      </c>
      <c r="C41" s="78">
        <f>Du_lieu!C7-Du_lieu!C34</f>
        <v/>
      </c>
      <c r="D41" s="78">
        <f>Du_lieu!D7-Du_lieu!D34</f>
        <v/>
      </c>
      <c r="E41" s="78">
        <f>Du_lieu!E7-Du_lieu!E34</f>
        <v/>
      </c>
      <c r="F41" s="78">
        <f>Du_lieu!F7-Du_lieu!F34</f>
        <v/>
      </c>
      <c r="G41" s="78">
        <f>Du_lieu!G7-Du_lieu!G34</f>
        <v/>
      </c>
      <c r="H41" s="78">
        <f>Du_lieu!H7-Du_lieu!H34</f>
        <v/>
      </c>
      <c r="I41" s="79" t="n"/>
    </row>
    <row r="42" ht="15" customHeight="1" s="47">
      <c r="A42" s="64" t="inlineStr">
        <is>
          <t>Chênh NPL: Agribank (hợp nhất ban đầu) − MB hợp nhất</t>
        </is>
      </c>
      <c r="B42" s="60" t="inlineStr">
        <is>
          <t>đ.%</t>
        </is>
      </c>
      <c r="C42" s="78">
        <f>IF(OR(Du_lieu!C10="",Du_lieu!C30=""),"",Du_lieu!C10-Du_lieu!C30)</f>
        <v/>
      </c>
      <c r="D42" s="78">
        <f>IF(OR(Du_lieu!D10="",Du_lieu!D30=""),"",Du_lieu!D10-Du_lieu!D30)</f>
        <v/>
      </c>
      <c r="E42" s="78">
        <f>IF(OR(Du_lieu!E10="",Du_lieu!E30=""),"",Du_lieu!E10-Du_lieu!E30)</f>
        <v/>
      </c>
      <c r="F42" s="78">
        <f>IF(OR(Du_lieu!F10="",Du_lieu!F30=""),"",Du_lieu!F10-Du_lieu!F30)</f>
        <v/>
      </c>
      <c r="G42" s="78">
        <f>IF(OR(Du_lieu!G10="",Du_lieu!G30=""),"",Du_lieu!G10-Du_lieu!G30)</f>
        <v/>
      </c>
      <c r="H42" s="82">
        <f>IF(OR(Du_lieu!H10="",Du_lieu!H30=""),"",Du_lieu!H10-Du_lieu!H30)</f>
        <v/>
      </c>
      <c r="I42" s="79" t="n"/>
    </row>
    <row r="43" ht="15" customHeight="1" s="47">
      <c r="A43" s="64" t="inlineStr">
        <is>
          <t>Chênh NPL: Agribank (báo cáo điều hành) − MB hợp nhất</t>
        </is>
      </c>
      <c r="B43" s="60" t="inlineStr">
        <is>
          <t>đ.%</t>
        </is>
      </c>
      <c r="C43" s="82">
        <f>IF(OR(Du_lieu!C11="",Du_lieu!C30=""),"",Du_lieu!C11-Du_lieu!C30)</f>
        <v/>
      </c>
      <c r="D43" s="82">
        <f>IF(OR(Du_lieu!D11="",Du_lieu!D30=""),"",Du_lieu!D11-Du_lieu!D30)</f>
        <v/>
      </c>
      <c r="E43" s="78">
        <f>IF(OR(Du_lieu!E11="",Du_lieu!E30=""),"",Du_lieu!E11-Du_lieu!E30)</f>
        <v/>
      </c>
      <c r="F43" s="78">
        <f>IF(OR(Du_lieu!F11="",Du_lieu!F30=""),"",Du_lieu!F11-Du_lieu!F30)</f>
        <v/>
      </c>
      <c r="G43" s="82">
        <f>IF(OR(Du_lieu!G11="",Du_lieu!G30=""),"",Du_lieu!G11-Du_lieu!G30)</f>
        <v/>
      </c>
      <c r="H43" s="78">
        <f>IF(OR(Du_lieu!H11="",Du_lieu!H30=""),"",Du_lieu!H11-Du_lieu!H30)</f>
        <v/>
      </c>
      <c r="I43" s="79" t="n"/>
    </row>
    <row r="44" ht="15" customHeight="1" s="47">
      <c r="A44" s="64" t="inlineStr">
        <is>
          <t>Chênh NPL: Agribank (BCTC riêng báo chí) − MB hợp nhất</t>
        </is>
      </c>
      <c r="B44" s="60" t="inlineStr">
        <is>
          <t>đ.%</t>
        </is>
      </c>
      <c r="C44" s="82">
        <f>IF(OR(Du_lieu!C12="",Du_lieu!C30=""),"",Du_lieu!C12-Du_lieu!C30)</f>
        <v/>
      </c>
      <c r="D44" s="78">
        <f>IF(OR(Du_lieu!D12="",Du_lieu!D30=""),"",Du_lieu!D12-Du_lieu!D30)</f>
        <v/>
      </c>
      <c r="E44" s="78">
        <f>IF(OR(Du_lieu!E12="",Du_lieu!E30=""),"",Du_lieu!E12-Du_lieu!E30)</f>
        <v/>
      </c>
      <c r="F44" s="78">
        <f>IF(OR(Du_lieu!F12="",Du_lieu!F30=""),"",Du_lieu!F12-Du_lieu!F30)</f>
        <v/>
      </c>
      <c r="G44" s="82">
        <f>IF(OR(Du_lieu!G12="",Du_lieu!G30=""),"",Du_lieu!G12-Du_lieu!G30)</f>
        <v/>
      </c>
      <c r="H44" s="82">
        <f>IF(OR(Du_lieu!H12="",Du_lieu!H30=""),"",Du_lieu!H12-Du_lieu!H30)</f>
        <v/>
      </c>
      <c r="I44" s="79" t="n"/>
    </row>
    <row r="45" ht="15" customHeight="1" s="47">
      <c r="A45" s="64" t="inlineStr">
        <is>
          <t>Chênh LLCR: Agribank − MB</t>
        </is>
      </c>
      <c r="B45" s="60" t="inlineStr">
        <is>
          <t>đ.%</t>
        </is>
      </c>
      <c r="C45" s="84">
        <f>IF(OR(Du_lieu!C13="",Du_lieu!C36=""),"",Du_lieu!C13-Du_lieu!C36)</f>
        <v/>
      </c>
      <c r="D45" s="85">
        <f>IF(OR(Du_lieu!D13="",Du_lieu!D36=""),"",Du_lieu!D13-Du_lieu!D36)</f>
        <v/>
      </c>
      <c r="E45" s="85">
        <f>IF(OR(Du_lieu!E13="",Du_lieu!E36=""),"",Du_lieu!E13-Du_lieu!E36)</f>
        <v/>
      </c>
      <c r="F45" s="85">
        <f>IF(OR(Du_lieu!F13="",Du_lieu!F36=""),"",Du_lieu!F13-Du_lieu!F36)</f>
        <v/>
      </c>
      <c r="G45" s="85">
        <f>IF(OR(Du_lieu!G13="",Du_lieu!G36=""),"",Du_lieu!G13-Du_lieu!G36)</f>
        <v/>
      </c>
      <c r="H45" s="84">
        <f>IF(OR(Du_lieu!H13="",Du_lieu!H36=""),"",Du_lieu!H13-Du_lieu!H36)</f>
        <v/>
      </c>
      <c r="I45" s="79" t="n"/>
    </row>
    <row r="46" ht="15" customHeight="1" s="47">
      <c r="A46" s="86" t="inlineStr">
        <is>
          <t>4. CHỈ SỐ LỢI NHUẬN ĐIỀU CHỈNH THEO RỦI RO (RAROC)</t>
        </is>
      </c>
      <c r="B46" s="87" t="inlineStr">
        <is>
          <t>đ.%</t>
        </is>
      </c>
      <c r="C46" s="88" t="n"/>
      <c r="D46" s="88">
        <f>D11-D31</f>
        <v/>
      </c>
      <c r="E46" s="88">
        <f>E11-E31</f>
        <v/>
      </c>
      <c r="F46" s="88">
        <f>F11-F31</f>
        <v/>
      </c>
      <c r="G46" s="88">
        <f>G11-G31</f>
        <v/>
      </c>
      <c r="H46" s="88">
        <f>H11-H31</f>
        <v/>
      </c>
      <c r="I46" s="79" t="n"/>
    </row>
    <row r="47" ht="15" customHeight="1" s="47">
      <c r="A47" s="89" t="inlineStr">
        <is>
          <t>Chỉ tiêu</t>
        </is>
      </c>
      <c r="B47" s="89" t="inlineStr">
        <is>
          <t>Đơn vị</t>
        </is>
      </c>
      <c r="C47" s="90" t="inlineStr">
        <is>
          <t>2020</t>
        </is>
      </c>
      <c r="D47" s="90" t="inlineStr">
        <is>
          <t>2021</t>
        </is>
      </c>
      <c r="E47" s="90" t="inlineStr">
        <is>
          <t>2022</t>
        </is>
      </c>
      <c r="F47" s="90" t="inlineStr">
        <is>
          <t>2023</t>
        </is>
      </c>
      <c r="G47" s="90" t="inlineStr">
        <is>
          <t>2024</t>
        </is>
      </c>
      <c r="H47" s="90" t="inlineStr">
        <is>
          <t>2025</t>
        </is>
      </c>
      <c r="I47" s="79" t="n"/>
    </row>
    <row r="48" ht="15" customHeight="1" s="47">
      <c r="A48" s="91" t="inlineStr">
        <is>
          <t>Agribank - Vốn kinh tế ước tính (EC = RWA x 8%)</t>
        </is>
      </c>
      <c r="B48" s="92" t="inlineStr">
        <is>
          <t>tỷ</t>
        </is>
      </c>
      <c r="C48" s="93" t="n">
        <v>97116</v>
      </c>
      <c r="D48" s="93" t="n">
        <v>105317</v>
      </c>
      <c r="E48" s="93" t="n">
        <v>115584</v>
      </c>
      <c r="F48" s="93" t="n">
        <v>123797</v>
      </c>
      <c r="G48" s="93" t="n">
        <v>137600</v>
      </c>
      <c r="H48" s="93" t="n">
        <v>158400</v>
      </c>
      <c r="I48" s="79" t="n"/>
    </row>
    <row r="49" ht="15" customHeight="1" s="47">
      <c r="A49" s="94" t="inlineStr">
        <is>
          <t>Agribank - Lợi nhuận sau thuế (PAT)</t>
        </is>
      </c>
      <c r="B49" s="95" t="inlineStr">
        <is>
          <t>tỷ</t>
        </is>
      </c>
      <c r="C49" s="96" t="n">
        <v>10389</v>
      </c>
      <c r="D49" s="96" t="n">
        <v>11624</v>
      </c>
      <c r="E49" s="96" t="n">
        <v>17657</v>
      </c>
      <c r="F49" s="96" t="n">
        <v>20387</v>
      </c>
      <c r="G49" s="96" t="n">
        <v>20800</v>
      </c>
      <c r="H49" s="96" t="n">
        <v>24936</v>
      </c>
      <c r="I49" s="63" t="n"/>
    </row>
    <row r="50" ht="15" customHeight="1" s="47">
      <c r="A50" s="91" t="inlineStr">
        <is>
          <t>Agribank - Tổn thất dự kiến (EL = Credit Cost x Dư nợ)</t>
        </is>
      </c>
      <c r="B50" s="92" t="inlineStr">
        <is>
          <t>tỷ</t>
        </is>
      </c>
      <c r="C50" s="93" t="n">
        <v>18416</v>
      </c>
      <c r="D50" s="93" t="n">
        <v>21676</v>
      </c>
      <c r="E50" s="93" t="n">
        <v>27172</v>
      </c>
      <c r="F50" s="93" t="n">
        <v>24363</v>
      </c>
      <c r="G50" s="93" t="n">
        <v>25800</v>
      </c>
      <c r="H50" s="93" t="n">
        <v>26500</v>
      </c>
      <c r="I50" s="79" t="n"/>
    </row>
    <row r="51" ht="15" customHeight="1" s="47">
      <c r="A51" s="97" t="inlineStr">
        <is>
          <t>Agribank - Tỷ số RAROC = (PAT / EC)</t>
        </is>
      </c>
      <c r="B51" s="92" t="inlineStr">
        <is>
          <t>%</t>
        </is>
      </c>
      <c r="C51" s="98" t="n">
        <v>0.107</v>
      </c>
      <c r="D51" s="98" t="n">
        <v>0.11</v>
      </c>
      <c r="E51" s="98" t="n">
        <v>0.153</v>
      </c>
      <c r="F51" s="98" t="n">
        <v>0.165</v>
      </c>
      <c r="G51" s="98" t="n">
        <v>0.151</v>
      </c>
      <c r="H51" s="98" t="n">
        <v>0.157</v>
      </c>
      <c r="I51" s="79" t="n"/>
    </row>
    <row r="52" ht="15" customHeight="1" s="47">
      <c r="A52" s="91" t="inlineStr">
        <is>
          <t>MB - Vốn kinh tế ước tính (EC = RWA x 8%)</t>
        </is>
      </c>
      <c r="B52" s="92" t="inlineStr">
        <is>
          <t>tỷ</t>
        </is>
      </c>
      <c r="C52" s="93" t="n">
        <v>23863</v>
      </c>
      <c r="D52" s="93" t="n">
        <v>29084</v>
      </c>
      <c r="E52" s="93" t="n">
        <v>36845</v>
      </c>
      <c r="F52" s="93" t="n">
        <v>41881</v>
      </c>
      <c r="G52" s="93" t="n">
        <v>62132</v>
      </c>
      <c r="H52" s="93" t="n">
        <v>80000</v>
      </c>
      <c r="I52" s="79" t="n"/>
    </row>
    <row r="53" ht="15" customHeight="1" s="47">
      <c r="A53" s="91" t="inlineStr">
        <is>
          <t>MB - Lợi nhuận sau thuế (PAT)</t>
        </is>
      </c>
      <c r="B53" s="92" t="inlineStr">
        <is>
          <t>tỷ</t>
        </is>
      </c>
      <c r="C53" s="93" t="n">
        <v>8606</v>
      </c>
      <c r="D53" s="93" t="n">
        <v>13218</v>
      </c>
      <c r="E53" s="93" t="n">
        <v>18155</v>
      </c>
      <c r="F53" s="93" t="n">
        <v>21053</v>
      </c>
      <c r="G53" s="93" t="n">
        <v>23072</v>
      </c>
      <c r="H53" s="93" t="n">
        <v>27414</v>
      </c>
      <c r="I53" s="79" t="n"/>
    </row>
    <row r="54">
      <c r="A54" s="91" t="inlineStr">
        <is>
          <t>MB - Tổn thất dự kiến (EL = Credit Cost gộp x Dư nợ)</t>
        </is>
      </c>
      <c r="B54" s="92" t="inlineStr">
        <is>
          <t>tỷ</t>
        </is>
      </c>
      <c r="C54" s="93" t="n">
        <v>6118</v>
      </c>
      <c r="D54" s="93" t="n">
        <v>8030</v>
      </c>
      <c r="E54" s="93" t="n">
        <v>8048</v>
      </c>
      <c r="F54" s="93" t="n">
        <v>10887</v>
      </c>
      <c r="G54" s="93" t="n">
        <v>10450</v>
      </c>
      <c r="H54" s="93" t="n">
        <v>13744</v>
      </c>
    </row>
    <row r="55">
      <c r="A55" s="97" t="inlineStr">
        <is>
          <t>MB - Tỷ số RAROC = (PAT / EC)</t>
        </is>
      </c>
      <c r="B55" s="92" t="inlineStr">
        <is>
          <t>%</t>
        </is>
      </c>
      <c r="C55" s="98" t="n">
        <v>0.361</v>
      </c>
      <c r="D55" s="98" t="n">
        <v>0.454</v>
      </c>
      <c r="E55" s="98" t="n">
        <v>0.493</v>
      </c>
      <c r="F55" s="98" t="n">
        <v>0.503</v>
      </c>
      <c r="G55" s="98" t="n">
        <v>0.371</v>
      </c>
      <c r="H55" s="98" t="n">
        <v>0.343</v>
      </c>
    </row>
    <row r="56" ht="15" customHeight="1" s="47">
      <c r="A56" s="97" t="inlineStr">
        <is>
          <t>Chênh lệch RAROC: MB − Agribank</t>
        </is>
      </c>
      <c r="B56" s="92" t="inlineStr">
        <is>
          <t>đ.%</t>
        </is>
      </c>
      <c r="C56" s="99" t="n">
        <v>0.254</v>
      </c>
      <c r="D56" s="99" t="n">
        <v>0.344</v>
      </c>
      <c r="E56" s="99" t="n">
        <v>0.34</v>
      </c>
      <c r="F56" s="99" t="n">
        <v>0.338</v>
      </c>
      <c r="G56" s="99" t="n">
        <v>0.22</v>
      </c>
      <c r="H56" s="99" t="n">
        <v>0.186</v>
      </c>
    </row>
    <row r="57" ht="15" customHeight="1" s="47">
      <c r="A57" s="60" t="inlineStr">
        <is>
          <t>Agribank (chuỗi chính)</t>
        </is>
      </c>
      <c r="C57" s="100">
        <f>Du_lieu!C7</f>
        <v/>
      </c>
      <c r="D57" s="100">
        <f>Du_lieu!D7</f>
        <v/>
      </c>
      <c r="E57" s="100">
        <f>Du_lieu!E7</f>
        <v/>
      </c>
      <c r="F57" s="100">
        <f>Du_lieu!F7</f>
        <v/>
      </c>
      <c r="G57" s="100">
        <f>Du_lieu!G7</f>
        <v/>
      </c>
      <c r="H57" s="100">
        <f>Du_lieu!H7</f>
        <v/>
      </c>
    </row>
    <row r="58" ht="15" customHeight="1" s="47">
      <c r="A58" s="60" t="inlineStr">
        <is>
          <t>MB hợp nhất</t>
        </is>
      </c>
      <c r="C58" s="100">
        <f>Du_lieu!C30</f>
        <v/>
      </c>
      <c r="D58" s="100">
        <f>Du_lieu!D30</f>
        <v/>
      </c>
      <c r="E58" s="100">
        <f>Du_lieu!E30</f>
        <v/>
      </c>
      <c r="F58" s="100">
        <f>Du_lieu!F30</f>
        <v/>
      </c>
      <c r="G58" s="100">
        <f>Du_lieu!G30</f>
        <v/>
      </c>
      <c r="H58" s="100">
        <f>Du_lieu!H30</f>
        <v/>
      </c>
    </row>
    <row r="59" ht="15" customHeight="1" s="47">
      <c r="A59" s="60" t="inlineStr">
        <is>
          <t>MB riêng NH</t>
        </is>
      </c>
      <c r="C59" s="100">
        <f>Du_lieu!C34</f>
        <v/>
      </c>
      <c r="D59" s="100">
        <f>Du_lieu!D34</f>
        <v/>
      </c>
      <c r="E59" s="100">
        <f>Du_lieu!E34</f>
        <v/>
      </c>
      <c r="F59" s="100">
        <f>Du_lieu!F34</f>
        <v/>
      </c>
      <c r="G59" s="100">
        <f>Du_lieu!G34</f>
        <v/>
      </c>
      <c r="H59" s="100">
        <f>Du_lieu!H34</f>
        <v/>
      </c>
    </row>
    <row r="60" ht="15" customHeight="1" s="47">
      <c r="A60" s="60" t="inlineStr">
        <is>
          <t>Hệ thống NHNN</t>
        </is>
      </c>
      <c r="C60" s="100">
        <f>Du_lieu!C52</f>
        <v/>
      </c>
      <c r="D60" s="100">
        <f>Du_lieu!D52</f>
        <v/>
      </c>
      <c r="E60" s="100">
        <f>Du_lieu!E52</f>
        <v/>
      </c>
      <c r="F60" s="100">
        <f>Du_lieu!F52</f>
        <v/>
      </c>
      <c r="G60" s="100">
        <f>Du_lieu!G52</f>
        <v/>
      </c>
      <c r="H60" s="101">
        <f>Du_lieu!H52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0"/>
  </sheetPr>
  <dimension ref="A1:C5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46" min="1" max="1"/>
    <col width="90" customWidth="1" style="46" min="2" max="2"/>
    <col width="80" customWidth="1" style="46" min="3" max="3"/>
  </cols>
  <sheetData>
    <row r="1" ht="15" customHeight="1" s="47">
      <c r="A1" s="102" t="inlineStr">
        <is>
          <t>DANH MỤC NGUỒN (đánh số khớp cột "Nguồn" và Tài liệu tham khảo trong báo cáo Word)</t>
        </is>
      </c>
    </row>
    <row r="3" ht="15" customHeight="1" s="47">
      <c r="A3" s="103" t="inlineStr">
        <is>
          <t>Số</t>
        </is>
      </c>
      <c r="B3" s="103" t="inlineStr">
        <is>
          <t>Nguồn</t>
        </is>
      </c>
      <c r="C3" s="103" t="inlineStr">
        <is>
          <t>Đường dẫn</t>
        </is>
      </c>
    </row>
    <row r="4" ht="15" customHeight="1" s="47">
      <c r="A4" s="60" t="n">
        <v>1</v>
      </c>
      <c r="B4" s="64" t="inlineStr">
        <is>
          <t>Agribank (2024), Báo cáo thường niên 2023</t>
        </is>
      </c>
      <c r="C4" s="60" t="inlineStr">
        <is>
          <t>https://www.agribank.com.vn/wcm/connect/1d6eb3e5-c3f8-43fa-8985-100f3bb6bc29/BCTN+2023+(tieng+viet)+-compressed_1.pdf</t>
        </is>
      </c>
    </row>
    <row r="5" ht="15" customHeight="1" s="47">
      <c r="A5" s="60" t="n">
        <v>2</v>
      </c>
      <c r="B5" s="64" t="inlineStr">
        <is>
          <t>MB (2024), Báo cáo thường niên 2023</t>
        </is>
      </c>
      <c r="C5" s="60" t="inlineStr">
        <is>
          <t>https://cdn.24hmoney.vn/upload/file/2024-2/2024-05-07/no-name-1715046272.pdf</t>
        </is>
      </c>
    </row>
    <row r="6" ht="15" customHeight="1" s="47">
      <c r="A6" s="60" t="n">
        <v>3</v>
      </c>
      <c r="B6" s="64" t="inlineStr">
        <is>
          <t>MB (2021), Báo cáo thường niên 2020</t>
        </is>
      </c>
      <c r="C6" s="60" t="inlineStr">
        <is>
          <t>https://static2.vietstock.vn/data/HOSE/2020/BCTN/VN/MBB_Baocaothuongnien_2020.pdf</t>
        </is>
      </c>
    </row>
    <row r="7" ht="15" customHeight="1" s="47">
      <c r="A7" s="60" t="n">
        <v>4</v>
      </c>
      <c r="B7" s="64" t="inlineStr">
        <is>
          <t>MB (2022), Báo cáo thường niên 2021</t>
        </is>
      </c>
      <c r="C7" s="60" t="inlineStr">
        <is>
          <t>https://static2.vietstock.vn/data/HOSE/2021/BCTN/VN/MBB_Baocaothuongnien_2021.pdf</t>
        </is>
      </c>
    </row>
    <row r="8" ht="23.25" customHeight="1" s="47">
      <c r="A8" s="60" t="n">
        <v>5</v>
      </c>
      <c r="B8" s="64" t="inlineStr">
        <is>
          <t>Báo Đầu tư, bài về kết quả kinh doanh 2023 của MB (LNTT hơn 26.300 tỷ đồng; LLCR 116%; hoàn nhập dự phòng)</t>
        </is>
      </c>
      <c r="C8" s="104" t="inlineStr">
        <is>
          <t>https://baodautu.vn/ngan-hang-quan-doi-mb-bao-lai-truoc-thue-hon-26300-ty-dong-nam-2023-d208151.html</t>
        </is>
      </c>
    </row>
    <row r="9" ht="15" customHeight="1" s="47">
      <c r="A9" s="60" t="n">
        <v>6</v>
      </c>
      <c r="B9" s="64" t="inlineStr">
        <is>
          <t>Markettimes, bài về kết quả 2023 của MBBank (nợ xấu, nợ nhóm 2, chi phí dự phòng)</t>
        </is>
      </c>
      <c r="C9" s="104" t="inlineStr">
        <is>
          <t>https://markettimes.vn/mb-lai-truoc-thue-hon-26-300-ty-dong-nam-2023-ty-le-no-xau-hop-nhat-1-6-50125.html</t>
        </is>
      </c>
    </row>
    <row r="10" ht="15" customHeight="1" s="47">
      <c r="A10" s="60" t="n">
        <v>7</v>
      </c>
      <c r="B10" s="64" t="inlineStr">
        <is>
          <t>Báo Đầu tư, bài về kết quả quý I/2023 của MB</t>
        </is>
      </c>
      <c r="C10" s="104" t="inlineStr">
        <is>
          <t>https://baodautu.vn/mb-bao-lai-quy-i2023-tang-10-len-hon-6500-ty-dong-d188334.html</t>
        </is>
      </c>
    </row>
    <row r="11" ht="15" customHeight="1" s="47">
      <c r="A11" s="60" t="n">
        <v>8</v>
      </c>
      <c r="B11" s="64" t="inlineStr">
        <is>
          <t>Tạp chí Công Thương, bài về nợ xấu MB quý I/2023 (nhóm 2, LLCR 138%)</t>
        </is>
      </c>
      <c r="C11" s="104" t="inlineStr">
        <is>
          <t>https://tapchicongthuong.vn/mb-quy-1-2023-lai-truoc-thue-tang-10-ty-le-no-xau-o-muc-1-75-104856.htm</t>
        </is>
      </c>
    </row>
    <row r="12" ht="15" customHeight="1" s="47">
      <c r="A12" s="60" t="n">
        <v>9</v>
      </c>
      <c r="B12" s="64" t="inlineStr">
        <is>
          <t>Báo Pháp luật/Sức khỏe Việt Nam, bài về kết quả quý III/2023 của MB (NPL 1,89%, LLCR ~122%)</t>
        </is>
      </c>
      <c r="C12" s="104" t="inlineStr">
        <is>
          <t>https://doanhnhanphaply.vn/mb-bao-lai-sau-thue-hon-5-700-ty-dong-quy-iii-2023-no-xau-tang-len-1-89-d32662.html</t>
        </is>
      </c>
    </row>
    <row r="13" ht="23.25" customHeight="1" s="47">
      <c r="A13" s="60" t="n">
        <v>10</v>
      </c>
      <c r="B13" s="64" t="inlineStr">
        <is>
          <t>Báo Đại biểu Nhân dân, 'Trong nhóm dẫn đầu lợi nhuận ngành ngân hàng nhưng nợ xấu của MB tăng lên hơn 10.000 tỷ đồng'</t>
        </is>
      </c>
      <c r="C13" s="60" t="inlineStr">
        <is>
          <t>https://daibieunhandan.vn/kinh-te-xa-hoi/trong-nhom-dan-dau-loi-nhuan-nganh-ngan-hang-nhung-no-xau-cua-mb-tang-len-hon-10-000-ty-dong-i348466/</t>
        </is>
      </c>
    </row>
    <row r="14" ht="15" customHeight="1" s="47">
      <c r="A14" s="60" t="n">
        <v>11</v>
      </c>
      <c r="B14" s="64" t="inlineStr">
        <is>
          <t>Tuổi Trẻ (27/01/2022), 'MB lãi hơn 16.527 tỉ đồng, nợ xấu siêu thấp chỉ 0,68%'</t>
        </is>
      </c>
      <c r="C14" s="60" t="inlineStr">
        <is>
          <t>https://tuoitre.vn/mb-lai-hon-16527-ti-dong-no-xau-sieu-thap-chi-068-20220127164100055.htm</t>
        </is>
      </c>
    </row>
    <row r="15" ht="15" customHeight="1" s="47">
      <c r="A15" s="60" t="n">
        <v>12</v>
      </c>
      <c r="B15" s="64" t="inlineStr">
        <is>
          <t>Agribank (2023), Báo cáo thường niên 2022</t>
        </is>
      </c>
      <c r="C15" s="60" t="inlineStr">
        <is>
          <t>https://static2.vietstock.vn/data/KHAC/2022/BCTN/VN/Agribank_Baocaothuongnien_2022.pdf</t>
        </is>
      </c>
    </row>
    <row r="16" ht="15" customHeight="1" s="47">
      <c r="A16" s="60" t="n">
        <v>13</v>
      </c>
      <c r="B16" s="64" t="inlineStr">
        <is>
          <t>VNBA, 'Agribank chính thức công bố báo cáo tài chính hợp nhất năm 2020 đã kiểm toán'</t>
        </is>
      </c>
      <c r="C16" s="60" t="inlineStr">
        <is>
          <t>https://vnba.org.vn/vi/agribank-chinh-thuc-cong-bo-bao-cao-tai-chinh-hop-nhat-nam-2020-da-kiem-toan-537.htm</t>
        </is>
      </c>
    </row>
    <row r="17" ht="15" customHeight="1" s="47">
      <c r="A17" s="60" t="n">
        <v>14</v>
      </c>
      <c r="B17" s="64" t="inlineStr">
        <is>
          <t>Báo Pháp luật, 'Agribank lãi trước thuế gần 9.500 tỷ đồng nửa đầu năm 2021'</t>
        </is>
      </c>
      <c r="C17" s="60" t="inlineStr">
        <is>
          <t>https://doanhnhan.baophapluat.vn/agribank-lai-truoc-thue-gan-9500-ty-dong-nua-dau-nam-2021-42175.html</t>
        </is>
      </c>
    </row>
    <row r="18" ht="15" customHeight="1" s="47">
      <c r="A18" s="60" t="n">
        <v>15</v>
      </c>
      <c r="B18" s="64" t="inlineStr">
        <is>
          <t>Nhà đầu tư, 'Bà Nguyễn Thị Phượng – Phó Tổng giám đốc Agribank: Nợ xấu tăng do tác động của Covid-19'</t>
        </is>
      </c>
      <c r="C18" s="60" t="inlineStr">
        <is>
          <t>https://nhadautu.vn/ba-nguyen-thi-phuong--pho-tong-giam-doc-agribank-no-xau-tang-do-tac-dong-cua-covid-19-d41750.html</t>
        </is>
      </c>
    </row>
    <row r="19" ht="15" customHeight="1" s="47">
      <c r="A19" s="60" t="n">
        <v>16</v>
      </c>
      <c r="B19" s="64" t="inlineStr">
        <is>
          <t>Thương Gia Online, 'Ngân hàng Agribank mang về gần 26.000 tỷ đồng lợi nhuận trước thuế trong năm 2023'</t>
        </is>
      </c>
      <c r="C19" s="60" t="inlineStr">
        <is>
          <t>https://thuonggiaonline.vn/ngan-hang-agribank-mang-ve-gan-26000-ty-dong-loi-nhuan-truoc-thue-trong-nam-2023-post550837.html</t>
        </is>
      </c>
    </row>
    <row r="20" ht="15" customHeight="1" s="47">
      <c r="A20" s="60" t="n">
        <v>17</v>
      </c>
      <c r="B20" s="64" t="inlineStr">
        <is>
          <t>DNSE, 'Agribank báo lãi lớn, thu nhập nhân viên tăng'</t>
        </is>
      </c>
      <c r="C20" s="60" t="inlineStr">
        <is>
          <t>https://www.dnse.com.vn/senses/tin-tuc/agribank-bao-lai-lon-thu-nhap-nhan-vien-tang-33686821</t>
        </is>
      </c>
    </row>
    <row r="21" ht="15" customHeight="1" s="47">
      <c r="A21" s="60" t="n">
        <v>18</v>
      </c>
      <c r="B21" s="64" t="inlineStr">
        <is>
          <t>Nhịp sống kinh doanh, 'Agribank đạt lợi nhuận 22.087 tỷ đồng năm 2022 nhờ đâu?'</t>
        </is>
      </c>
      <c r="C21" s="60" t="inlineStr">
        <is>
          <t>https://nhipsongkinhdoanh.vn/agribank-dat-loi-nhuan-22-087-ty-dong-nam-2022-nho-dau-4021.htm</t>
        </is>
      </c>
    </row>
    <row r="22" ht="15" customHeight="1" s="47">
      <c r="A22" s="60" t="n">
        <v>19</v>
      </c>
      <c r="B22" s="64" t="inlineStr">
        <is>
          <t>Dân trí (06/04/2023), 'Khối bất động sản thế chấp gần 2,3 triệu tỷ đồng tại Agribank'</t>
        </is>
      </c>
      <c r="C22" s="60" t="inlineStr">
        <is>
          <t>https://dantri.com.vn/kinh-doanh/khoi-bat-dong-san-the-chap-gan-23-trieu-ty-dong-tai-agribank-20230406020212578.htm</t>
        </is>
      </c>
    </row>
    <row r="23" ht="23.25" customHeight="1" s="47">
      <c r="A23" s="60" t="n">
        <v>20</v>
      </c>
      <c r="B23" s="64" t="inlineStr">
        <is>
          <t>Báo Đầu tư, 'Agribank công bố báo cáo tài chính: giữ vững thị phần top đầu, nợ xấu giảm, bao phủ nợ xấu tăng'</t>
        </is>
      </c>
      <c r="C23" s="60" t="inlineStr">
        <is>
          <t>https://baodautu.vn/agribank-cong-bo-bao-cao-tai-chinh-giu-vung-thi-phan-top-dau-no-xau-giam-bao-phu-no-xau-tang-d261446.html</t>
        </is>
      </c>
    </row>
    <row r="24" ht="15" customHeight="1" s="47">
      <c r="A24" s="60" t="n">
        <v>21</v>
      </c>
      <c r="B24" s="64" t="inlineStr">
        <is>
          <t>Agribank (2024), Bản công bố thông tin/bản cáo bạch trái phiếu phát hành công chúng đợt 2023–2024</t>
        </is>
      </c>
      <c r="C24" s="60" t="inlineStr">
        <is>
          <t>https://pinetree.vn/wp-content/uploads/2024/04/Agribank-Public-Offering-Bond-VBA122001.pdf</t>
        </is>
      </c>
    </row>
    <row r="25" ht="15" customHeight="1" s="47">
      <c r="A25" s="60" t="n">
        <v>22</v>
      </c>
      <c r="B25" s="64" t="inlineStr">
        <is>
          <t>Báo Đầu tư, 'Thống đốc giải thích lý do chậm trễ tăng vốn cho Agribank'</t>
        </is>
      </c>
      <c r="C25" s="60" t="inlineStr">
        <is>
          <t>https://baodautu.vn/thong-doc-giai-thich-ly-do-cham-tre-tang-von-cho-agribank-d190288.html</t>
        </is>
      </c>
    </row>
    <row r="26" ht="15" customHeight="1" s="47">
      <c r="A26" s="60" t="n">
        <v>23</v>
      </c>
      <c r="B26" s="64" t="inlineStr">
        <is>
          <t>CafeF (25/05/2020), 'Tỷ lệ an toàn vốn Agribank nằm sâu dưới chuẩn'</t>
        </is>
      </c>
      <c r="C26" s="60" t="inlineStr">
        <is>
          <t>https://cafef.vn/ty-le-an-toan-von-agribank-nam-sau-duoi-chuan-20200525150015202.chn</t>
        </is>
      </c>
    </row>
    <row r="27" ht="15" customHeight="1" s="47">
      <c r="A27" s="60" t="n">
        <v>24</v>
      </c>
      <c r="B27" s="64" t="inlineStr">
        <is>
          <t>Agribank (2022), Báo cáo thường niên 2021 – Tổng quan</t>
        </is>
      </c>
      <c r="C27" s="60" t="inlineStr">
        <is>
          <t>https://www.agribank.com.vn/wcm/connect/692f4f6e-4465-4c05-afae-9973a103dc57/Tong+quan+2021+(dau+nam)+nhe.pdf</t>
        </is>
      </c>
    </row>
    <row r="28" ht="15" customHeight="1" s="47">
      <c r="A28" s="60" t="n">
        <v>25</v>
      </c>
      <c r="B28" s="64" t="inlineStr">
        <is>
          <t>Báo Đầu tư, 'Agribank: Lợi nhuận 6 tháng giảm, tăng bao phủ nợ xấu'</t>
        </is>
      </c>
      <c r="C28" s="60" t="inlineStr">
        <is>
          <t>https://baodautu.vn/agribank-loi-nhuan-6-thang-giam-tang-bao-phu-no-xau-d195207.html</t>
        </is>
      </c>
    </row>
    <row r="29" ht="15" customHeight="1" s="47">
      <c r="A29" s="60" t="n">
        <v>26</v>
      </c>
      <c r="B29" s="64" t="inlineStr">
        <is>
          <t>VnEconomy (14/03/2024), 'Cảnh báo nợ xấu nội bảng toàn hệ thống là 4,55%…'</t>
        </is>
      </c>
      <c r="C29" s="60" t="inlineStr">
        <is>
          <t>https://vneconomy.vn/canh-bao-no-xau-noi-bang-toan-he-thong-la-4-55-va-ty-le-tin-dung-gdp-khoang-133.htm</t>
        </is>
      </c>
    </row>
    <row r="30" ht="15" customHeight="1" s="47">
      <c r="A30" s="60" t="n">
        <v>27</v>
      </c>
      <c r="B30" s="64" t="inlineStr">
        <is>
          <t>Báo Dân Việt, 'Tỷ lệ nợ xấu nội bảng tiến về sát ngưỡng 3%, lộ nợ xấu tiềm ẩn mới nhất'</t>
        </is>
      </c>
      <c r="C30" s="60" t="inlineStr">
        <is>
          <t>https://etime.danviet.vn/nguong-3-no-xau-bi-de-doa-lo-ty-le-no-xau-tiem-an-moi-nhat-20230503163330562-d111889.html</t>
        </is>
      </c>
    </row>
    <row r="31" ht="15" customHeight="1" s="47">
      <c r="A31" s="60" t="n">
        <v>28</v>
      </c>
      <c r="B31" s="64" t="inlineStr">
        <is>
          <t>VnExpress, 'Tỷ lệ nợ xấu nội bảng của các ngân hàng trên 4%'</t>
        </is>
      </c>
      <c r="C31" s="60" t="inlineStr">
        <is>
          <t>https://vnexpress.net/ty-le-no-xau-noi-bang-cua-cac-ngan-hang-tren-4-4888019.html</t>
        </is>
      </c>
    </row>
    <row r="32" ht="15" customHeight="1" s="47">
      <c r="A32" s="60" t="n">
        <v>29</v>
      </c>
      <c r="B32" s="64" t="inlineStr">
        <is>
          <t>Thời báo Tài chính Việt Nam, 'Có quá đáng ngại khi nợ xấu ngân hàng gia tăng?'</t>
        </is>
      </c>
      <c r="C32" s="60" t="inlineStr">
        <is>
          <t>https://thoibaotaichinhvietnam.vn/co-qua-dang-ngai-khi-no-xau-ngan-hang-gia-tang-156212-156212.html</t>
        </is>
      </c>
    </row>
    <row r="33" ht="15" customHeight="1" s="47">
      <c r="A33" s="60" t="n">
        <v>30</v>
      </c>
      <c r="B33" s="64" t="inlineStr">
        <is>
          <t>CafeF, 'Thông tư quan trọng về cơ cấu, giữ nguyên nhóm nợ của ngành ngân hàng sắp hết hiệu lực'</t>
        </is>
      </c>
      <c r="C33" s="60" t="inlineStr">
        <is>
          <t>https://cafef.vn/thong-tu-quan-trong-ve-co-cau-giu-nguyen-nhom-no-cua-nganh-ngan-hang-sap-het-hieu-luc-188241119113708193.chn</t>
        </is>
      </c>
    </row>
    <row r="34" ht="15" customHeight="1" s="47">
      <c r="A34" s="60" t="n">
        <v>31</v>
      </c>
      <c r="B34" s="64" t="inlineStr">
        <is>
          <t>NHNN, Thông tư 02/2023/TT-NHNN (thuvienphapluat.vn)</t>
        </is>
      </c>
      <c r="C34" s="60" t="inlineStr">
        <is>
          <t>https://thuvienphapluat.vn/van-ban/Tien-te-Ngan-hang/Thong-tu-02-2023-TT-NHNN-to-chuc-tin-dung-co-cau-lai-thoi-han-tra-no-ho-tro-khach-hang-564081.aspx</t>
        </is>
      </c>
    </row>
    <row r="35" ht="15" customHeight="1" s="47">
      <c r="A35" s="60" t="n">
        <v>32</v>
      </c>
      <c r="B35" s="64" t="inlineStr">
        <is>
          <t>Báo Chính phủ, 'Kéo dài thêm 6 tháng thời gian cơ cấu thời hạn trả nợ cho khách hàng'</t>
        </is>
      </c>
      <c r="C35" s="60" t="inlineStr">
        <is>
          <t>https://baochinhphu.vn/keo-dai-them-6-thang-thoi-gian-co-cau-thoi-han-tra-no-cho-khach-hang-10224062415392134.htm</t>
        </is>
      </c>
    </row>
    <row r="36" ht="15" customHeight="1" s="47">
      <c r="A36" s="60" t="n">
        <v>33</v>
      </c>
      <c r="B36" s="64" t="inlineStr">
        <is>
          <t>Báo Đấu thầu, 'Vụ án tại Agribank: Doanh nghiệp “cám ơn” hàng chục tỷ đồng' (xét xử sơ thẩm Lifepro)</t>
        </is>
      </c>
      <c r="C36" s="60" t="inlineStr">
        <is>
          <t>https://baodauthau.vn/vu-an-tai-agribank-doanh-nghiep-cam-on-hang-chuc-ty-dong-post7826.html</t>
        </is>
      </c>
    </row>
    <row r="37" ht="15" customHeight="1" s="47">
      <c r="A37" s="60" t="n">
        <v>34</v>
      </c>
      <c r="B37" s="64" t="inlineStr">
        <is>
          <t>Báo Đấu thầu, 'Chuẩn bị xử phúc thẩm vụ án tại Agribank'</t>
        </is>
      </c>
      <c r="C37" s="60" t="inlineStr">
        <is>
          <t>https://baodauthau.vn/chuan-bi-xu-phuc-tham-vu-an-tai-agribank-post20758.html</t>
        </is>
      </c>
    </row>
    <row r="38" ht="15" customHeight="1" s="47">
      <c r="A38" s="60" t="n">
        <v>35</v>
      </c>
      <c r="B38" s="64" t="inlineStr">
        <is>
          <t>VietnamPlus, 'Nguyên Giám đốc Agribank Nam Hà Nội bị tuyên án 30 năm tù'</t>
        </is>
      </c>
      <c r="C38" s="60" t="inlineStr">
        <is>
          <t>https://www.vietnamplus.vn/nguyen-giam-doc-agribank-nam-ha-noi-bi-tuyen-an-30-nam-tu-post365073.vnp</t>
        </is>
      </c>
    </row>
    <row r="39" ht="15" customHeight="1" s="47">
      <c r="A39" s="60" t="n">
        <v>36</v>
      </c>
      <c r="B39" s="64" t="inlineStr">
        <is>
          <t>VietnamFinance (04/05/2018), 'Agribank bán thành công TSBĐ của liên doanh tai tiếng Lifepro, thu về trăm tỷ'</t>
        </is>
      </c>
      <c r="C39" s="60" t="inlineStr">
        <is>
          <t>https://vietnamfinance.vn/agribank-ban-thanh-cong-tsbd-cua-lien-doanh-tai-tieng-lifepro-thu-ve-tram-ty-20180504224222981.htm</t>
        </is>
      </c>
    </row>
    <row r="40" ht="23.25" customHeight="1" s="47">
      <c r="A40" s="60" t="n">
        <v>37</v>
      </c>
      <c r="B40" s="64" t="inlineStr">
        <is>
          <t>Cựu Chiến Binh Việt Nam, 'Tuyên án 16 năm tù cho cán bộ ngân hàng lừa đảo chiếm đoạt tài sản hơn 32 tỷ đồng' (vụ MB Gia Lai)</t>
        </is>
      </c>
      <c r="C40" s="60" t="inlineStr">
        <is>
          <t>https://cuuchienbinh.vn/untitled-2649-d37384.html</t>
        </is>
      </c>
    </row>
    <row r="41" ht="23.25" customHeight="1" s="47">
      <c r="A41" s="60" t="n">
        <v>38</v>
      </c>
      <c r="B41" s="64" t="inlineStr">
        <is>
          <t>Văn bản pháp luật gốc: Luật Các TCTD 2010 (sửa đổi 2017) và Luật 2024; NQ 42/2017/QH14; TT 01/2020, 03/2021, 14/2021, 11/2021, 41/2016, 22/2019, 13/2018/TT-NHNN</t>
        </is>
      </c>
      <c r="C41" s="60" t="inlineStr">
        <is>
          <t>https://thuvienphapluat.vn (tra cứu theo số hiệu; cần đối chiếu ngày hiệu lực)</t>
        </is>
      </c>
    </row>
    <row r="42" ht="23.25" customHeight="1" s="47">
      <c r="A42" s="60" t="n">
        <v>39</v>
      </c>
      <c r="B42" s="64" t="inlineStr">
        <is>
          <t>Agribank (2026), Báo cáo thường niên 2025 (bảng chỉ tiêu 2021–2025, BCTC hợp nhất điều chỉnh theo khuyến nghị của Kiểm toán nhà nước)</t>
        </is>
      </c>
      <c r="C42" s="60" t="inlineStr">
        <is>
          <t>https://static2.vietstock.vn/data/KHAC/2025/BCTN/VN/Agribank_Baocaothuongnien_2025.pdf</t>
        </is>
      </c>
    </row>
    <row r="43" ht="15" customHeight="1" s="47">
      <c r="A43" s="60" t="n">
        <v>40</v>
      </c>
      <c r="B43" s="64" t="inlineStr">
        <is>
          <t>MB (2026), Báo cáo thường niên 2025</t>
        </is>
      </c>
      <c r="C43" s="60" t="inlineStr">
        <is>
          <t>https://static2.vietstock.vn/data/HOSE/2025/BCTN/VN/MBB_Baocaothuongnien_2025.pdf</t>
        </is>
      </c>
    </row>
    <row r="44" ht="15" customHeight="1" s="47">
      <c r="A44" s="60" t="n">
        <v>41</v>
      </c>
      <c r="B44" s="64" t="inlineStr">
        <is>
          <t>MB (2025), Báo cáo thường niên 2024</t>
        </is>
      </c>
      <c r="C44" s="60" t="inlineStr">
        <is>
          <t>https://static2.vietstock.vn/data/HOSE/2024/BCTN/VN/MBB_Baocaothuongnien_2024.pdf</t>
        </is>
      </c>
    </row>
    <row r="45" ht="15" customHeight="1" s="47">
      <c r="A45" s="60" t="n">
        <v>42</v>
      </c>
      <c r="B45" s="64" t="inlineStr">
        <is>
          <t>Vietnambiz, 'Agribank công bố báo cáo tài chính: Lãi từ kinh doanh vàng và ngoại hối tăng gấp đôi trong 2024'</t>
        </is>
      </c>
      <c r="C45" s="60" t="inlineStr">
        <is>
          <t>https://vietnambiz.vn/agribank-cong-bo-bao-cao-tai-chinh-lai-tu-kinh-doanh-vang-va-ngoai-hoi-tang-gap-doi-trong-2025-202533182112.htm</t>
        </is>
      </c>
    </row>
    <row r="46" ht="15" customHeight="1" s="47">
      <c r="A46" s="60" t="n">
        <v>43</v>
      </c>
      <c r="B46" s="64" t="inlineStr">
        <is>
          <t>Người đưa tin, 'Agribank lãi gấp đôi từ kinh doanh vàng và ngoại hối' (nợ nhóm 3–5 năm 2024)</t>
        </is>
      </c>
      <c r="C46" s="60" t="inlineStr">
        <is>
          <t>https://www.nguoiduatin.vn/agribank-lai-gap-doi-tu-kinh-doanh-vang-va-ngoai-hoi-204250331104146996.htm</t>
        </is>
      </c>
    </row>
    <row r="47" ht="15" customHeight="1" s="47">
      <c r="A47" s="60" t="n">
        <v>44</v>
      </c>
      <c r="B47" s="64" t="inlineStr">
        <is>
          <t>BNEWS, 'Nợ xấu của Agribank giảm cả về tuyệt đối lẫn tỷ lệ tương đối'</t>
        </is>
      </c>
      <c r="C47" s="60" t="inlineStr">
        <is>
          <t>https://bnews.vn/no-xau-cua-agribank-giam-ca-ve-tuyet-doi-lan-ty-le-tuong-doi/370267.html</t>
        </is>
      </c>
    </row>
    <row r="48" ht="15" customHeight="1" s="47">
      <c r="A48" s="60" t="n">
        <v>45</v>
      </c>
      <c r="B48" s="64" t="inlineStr">
        <is>
          <t>Người Quan Sát, 'Quý IV thăng hoa, MB chốt sổ năm 2025 với lợi nhuận hơn 34.000 tỷ đồng'</t>
        </is>
      </c>
      <c r="C48" s="60" t="inlineStr">
        <is>
          <t>https://nguoiquansat.vn/quy-iv-thang-hoa-mb-chot-so-nam-2025-voi-loi-nhuan-hon-34-000-ty-dong-271526.html</t>
        </is>
      </c>
    </row>
    <row r="49" ht="15" customHeight="1" s="47">
      <c r="A49" s="60" t="n">
        <v>46</v>
      </c>
      <c r="B49" s="64" t="inlineStr">
        <is>
          <t>Nhịp sống kinh doanh, 'MB đặt mục tiêu lãi 39.500 tỷ đồng năm 2026…'</t>
        </is>
      </c>
      <c r="C49" s="60" t="inlineStr">
        <is>
          <t>https://nhipsongkinhdoanh.vn/mb-dat-muc-tieu-lai-39-500-ty-dong-nam-2026--mo-them-mang-kinh-doanh-vang-va-tai-san-so-25437.htm</t>
        </is>
      </c>
    </row>
    <row r="50" ht="15" customHeight="1" s="47">
      <c r="A50" s="60" t="n">
        <v>47</v>
      </c>
      <c r="B50" s="64" t="inlineStr">
        <is>
          <t>DNSE, 'Bất ngờ với lợi nhuận của MB giảm trong quý III, nợ xấu tăng hơn 38%'</t>
        </is>
      </c>
      <c r="C50" s="60" t="inlineStr">
        <is>
          <t>https://www.dnse.com.vn/senses/tin-tuc/bat-ngo-voi-loi-nhuan-cua-mb-giam-trong-quy-iii-no-xau-tang-hon-38-35157227</t>
        </is>
      </c>
    </row>
    <row r="51" ht="15" customHeight="1" s="47">
      <c r="A51" s="60" t="n">
        <v>48</v>
      </c>
      <c r="B51" s="64" t="inlineStr">
        <is>
          <t>CafeLand, 'Bức tranh nợ xấu ngân hàng quý 1/2025'</t>
        </is>
      </c>
      <c r="C51" s="60" t="inlineStr">
        <is>
          <t>https://cafeland.vn/tin-tuc/buc-tranh-no-xau-ngan-hang-quy-12025-138698.html</t>
        </is>
      </c>
    </row>
    <row r="52" ht="15" customHeight="1" s="47">
      <c r="A52" s="60" t="n">
        <v>49</v>
      </c>
      <c r="B52" s="64" t="inlineStr">
        <is>
          <t>Thời báo Tài chính Việt Nam, 'Nợ xấu tăng 14%, nhiều ngân hàng vẫn ngược dòng siết kỷ luật tín dụng'</t>
        </is>
      </c>
      <c r="C52" s="60" t="inlineStr">
        <is>
          <t>https://thoibaotaichinhvietnam.vn/no-xau-tang-14-nhieu-ngan-hang-van-nguoc-dong-siet-ky-luat-tin-dung-193810-193810.html</t>
        </is>
      </c>
    </row>
    <row r="53" ht="23.25" customHeight="1" s="47">
      <c r="A53" s="60" t="n">
        <v>50</v>
      </c>
      <c r="B53" s="64" t="inlineStr">
        <is>
          <t>VCCI (dẫn Mirae Asset), 'Dự báo nợ xấu ngành ngân hàng năm 2025 tăng nhẹ trước khi tiếp tục xu hướng giảm'</t>
        </is>
      </c>
      <c r="C53" s="60" t="inlineStr">
        <is>
          <t>https://www.vcci.com.vn/news/du-bao-no-xau-nganh-ngan-hang-nam-2025-tang-nhe-truoc-khi-tiep-tuc-xu-huong-giam</t>
        </is>
      </c>
    </row>
    <row r="54" ht="15" customHeight="1" s="47">
      <c r="A54" s="60" t="n">
        <v>51</v>
      </c>
      <c r="B54" s="64" t="inlineStr">
        <is>
          <t>CafeF, 'Tổng nợ xấu ngân hàng đã lên tới hơn 1 triệu tỷ đồng…' (nợ xấu gộp 5,46% cuối 2024)</t>
        </is>
      </c>
      <c r="C54" s="60" t="inlineStr">
        <is>
          <t>https://cafef.vn/tong-no-xau-ngan-hang-da-len-toi-hon-1-trieu-ty-dong-va-co-677000-ty-dong-da-duoc-xu-ly-bang-du-phong-nhung-chua-thu-hoi-duoc-188250506155913006.chn</t>
        </is>
      </c>
    </row>
    <row r="55" ht="15" customHeight="1" s="47">
      <c r="A55" s="60" t="n">
        <v>52</v>
      </c>
      <c r="B55" s="64" t="inlineStr">
        <is>
          <t>Tin nhanh chứng khoán, 'Bức tranh nợ xấu và bao phủ nợ xấu của ngành ngân hàng' (quý IV/2025)</t>
        </is>
      </c>
      <c r="C55" s="60" t="inlineStr">
        <is>
          <t>https://www.tinnhanhchungkhoan.vn/buc-tranh-no-xau-va-bao-phu-no-xau-cua-nganh-ngan-hang-post385983.html</t>
        </is>
      </c>
    </row>
    <row r="56" ht="15" customHeight="1" s="47">
      <c r="A56" s="60" t="n">
        <v>53</v>
      </c>
      <c r="B56" s="64" t="inlineStr">
        <is>
          <t>Báo Nhân Dân, 'Tỷ lệ nợ xấu nội bảng ở mức 1,88%'</t>
        </is>
      </c>
      <c r="C56" s="60" t="inlineStr">
        <is>
          <t>https://nhandan.vn/ty-le-no-xau-noi-bang-o-muc-188-post877914.html</t>
        </is>
      </c>
    </row>
    <row r="57" ht="15" customHeight="1" s="47">
      <c r="A57" s="60" t="n">
        <v>54</v>
      </c>
      <c r="B57" s="64" t="inlineStr">
        <is>
          <t>Thuvienphapluat, Thông tư 31/2024/TT-NHNN (ban hành 30/6/2024)</t>
        </is>
      </c>
      <c r="C57" s="60" t="inlineStr">
        <is>
          <t>https://thuvienphapluat.vn/van-ban/Tien-te-Ngan-hang/Thong-tu-31-2024-TT-NHNN-phan-loai-tai-san-co-trong-hoat-dong-cua-ngan-hang-thuong-mai-616233.aspx</t>
        </is>
      </c>
    </row>
    <row r="58" ht="15" customHeight="1" s="47">
      <c r="A58" s="60" t="n">
        <v>55</v>
      </c>
      <c r="B58" s="64" t="inlineStr">
        <is>
          <t>Báo Pháp luật, 'Agribank chốt mục tiêu lợi nhuận 32.500 tỷ đồng năm 2026, siết chặt nợ xấu dưới 1,5%'</t>
        </is>
      </c>
      <c r="C58" s="60" t="inlineStr">
        <is>
          <t>https://doanhnhan.baophapluat.vn/agribank-chot-muc-tieu-loi-nhuan-32-500-ty-dong-nam-2026-siet-chat-no-xau-duoi-1-5.html</t>
        </is>
      </c>
    </row>
    <row r="59" ht="23.25" customHeight="1" s="47">
      <c r="A59" s="60" t="n">
        <v>56</v>
      </c>
      <c r="B59" s="64" t="inlineStr">
        <is>
          <t>Tạp chí Kinh tế Tài chính, 'Agribank trở thành ngân hàng có lãi cao thứ 5 toàn thị trường' (CAR cuối 2023, tài sản bảo đảm)</t>
        </is>
      </c>
      <c r="C59" s="60" t="inlineStr">
        <is>
          <t>https://tapchikinhtetaichinh.vn/agribank-tro-thanh-ngan-hang-co-lai-cao-thu-5-toan-thi-truong-24733.html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E56"/>
  <sheetViews>
    <sheetView showGridLines="1" workbookViewId="0">
      <selection activeCell="A1" sqref="A1"/>
    </sheetView>
  </sheetViews>
  <sheetFormatPr baseColWidth="8" defaultRowHeight="15"/>
  <cols>
    <col width="46" customWidth="1" style="47" min="1" max="1"/>
    <col width="24" customWidth="1" style="47" min="2" max="2"/>
    <col width="26" customWidth="1" style="47" min="3" max="3"/>
    <col width="26" customWidth="1" style="47" min="4" max="4"/>
    <col width="26" customWidth="1" style="47" min="5" max="5"/>
  </cols>
  <sheetData>
    <row r="1">
      <c r="A1" s="105" t="inlineStr">
        <is>
          <t>MÔ HÌNH KIỂM TRA SỨC CHỊU ĐỰNG VĨ MÔ (MACROECONOMIC STRESS TESTING) NĂM 2026</t>
        </is>
      </c>
    </row>
    <row r="2">
      <c r="A2" s="106" t="inlineStr">
        <is>
          <t>Mô phỏng 3 kịch bản: Cơ sở (Baseline), Tiêu cực (Adverse) và Cực đoan (Severe) theo chuẩn Basel II/III (ICAAP)</t>
        </is>
      </c>
    </row>
    <row r="4">
      <c r="A4" s="107" t="inlineStr">
        <is>
          <t>BẢNG 1: GIẢ ĐỊNH KỊCH BẢN VĨ MÔ NĂM 2026</t>
        </is>
      </c>
      <c r="B4" s="108" t="n"/>
      <c r="C4" s="108" t="n"/>
      <c r="D4" s="108" t="n"/>
      <c r="E4" s="108" t="n"/>
    </row>
    <row r="5">
      <c r="A5" s="89" t="inlineStr">
        <is>
          <t>Biến số vĩ mô</t>
        </is>
      </c>
      <c r="B5" s="89" t="inlineStr">
        <is>
          <t>Đơn vị</t>
        </is>
      </c>
      <c r="C5" s="89" t="inlineStr">
        <is>
          <t>Kịch bản Cơ sở (Baseline)</t>
        </is>
      </c>
      <c r="D5" s="89" t="inlineStr">
        <is>
          <t>Kịch bản Tiêu cực (Adverse)</t>
        </is>
      </c>
      <c r="E5" s="89" t="inlineStr">
        <is>
          <t>Kịch bản Cực đoan (Severe)</t>
        </is>
      </c>
    </row>
    <row r="6">
      <c r="A6" s="97" t="inlineStr">
        <is>
          <t>Tăng trưởng GDP thực tế</t>
        </is>
      </c>
      <c r="B6" s="92" t="inlineStr">
        <is>
          <t>%</t>
        </is>
      </c>
      <c r="C6" s="109" t="n">
        <v>0.065</v>
      </c>
      <c r="D6" s="109" t="n">
        <v>0.05</v>
      </c>
      <c r="E6" s="109" t="n">
        <v>0.035</v>
      </c>
    </row>
    <row r="7">
      <c r="A7" s="97" t="inlineStr">
        <is>
          <t>Mặt bằng lãi suất cho vay</t>
        </is>
      </c>
      <c r="B7" s="92" t="inlineStr">
        <is>
          <t>điểm cơ bản</t>
        </is>
      </c>
      <c r="C7" s="110" t="inlineStr">
        <is>
          <t>Không đổi (+0 bps)</t>
        </is>
      </c>
      <c r="D7" s="110" t="inlineStr">
        <is>
          <t>+150 bps</t>
        </is>
      </c>
      <c r="E7" s="110" t="inlineStr">
        <is>
          <t>+300 bps</t>
        </is>
      </c>
    </row>
    <row r="8">
      <c r="A8" s="97" t="inlineStr">
        <is>
          <t>Chỉ số giá Bất động sản</t>
        </is>
      </c>
      <c r="B8" s="92" t="inlineStr">
        <is>
          <t>% so năm trước</t>
        </is>
      </c>
      <c r="C8" s="109" t="n">
        <v>0.03</v>
      </c>
      <c r="D8" s="109" t="n">
        <v>-0.1</v>
      </c>
      <c r="E8" s="109" t="n">
        <v>-0.25</v>
      </c>
    </row>
    <row r="9">
      <c r="A9" s="97" t="inlineStr">
        <is>
          <t>Tăng trưởng tín dụng toàn hệ thống</t>
        </is>
      </c>
      <c r="B9" s="92" t="inlineStr">
        <is>
          <t>%</t>
        </is>
      </c>
      <c r="C9" s="109" t="n">
        <v>0.14</v>
      </c>
      <c r="D9" s="109" t="n">
        <v>0.09</v>
      </c>
      <c r="E9" s="109" t="n">
        <v>0.05</v>
      </c>
    </row>
    <row r="10">
      <c r="A10" s="91" t="inlineStr">
        <is>
          <t>Tỷ lệ nợ nhảy nhóm 1 -&gt; nhóm 2 (Agribank)</t>
        </is>
      </c>
      <c r="B10" s="92" t="inlineStr">
        <is>
          <t>%</t>
        </is>
      </c>
      <c r="C10" s="109" t="n">
        <v>0.015</v>
      </c>
      <c r="D10" s="109" t="n">
        <v>0.025</v>
      </c>
      <c r="E10" s="109" t="n">
        <v>0.04</v>
      </c>
    </row>
    <row r="11">
      <c r="A11" s="91" t="inlineStr">
        <is>
          <t>Tỷ lệ nợ nhảy nhóm 2 -&gt; nợ xấu nhóm 3-5 (Agribank)</t>
        </is>
      </c>
      <c r="B11" s="92" t="inlineStr">
        <is>
          <t>%</t>
        </is>
      </c>
      <c r="C11" s="109" t="n">
        <v>0.15</v>
      </c>
      <c r="D11" s="109" t="n">
        <v>0.25</v>
      </c>
      <c r="E11" s="109" t="n">
        <v>0.4</v>
      </c>
    </row>
    <row r="12">
      <c r="A12" s="91" t="inlineStr">
        <is>
          <t>Tỷ lệ nợ nhảy nhóm 1 -&gt; nhóm 2 (MB)</t>
        </is>
      </c>
      <c r="B12" s="92" t="inlineStr">
        <is>
          <t>%</t>
        </is>
      </c>
      <c r="C12" s="109" t="n">
        <v>0.018</v>
      </c>
      <c r="D12" s="109" t="n">
        <v>0.035</v>
      </c>
      <c r="E12" s="109" t="n">
        <v>0.06</v>
      </c>
    </row>
    <row r="13">
      <c r="A13" s="91" t="inlineStr">
        <is>
          <t>Tỷ lệ nợ nhảy nhóm 2 -&gt; nợ xấu nhóm 3-5 (MB)</t>
        </is>
      </c>
      <c r="B13" s="92" t="inlineStr">
        <is>
          <t>%</t>
        </is>
      </c>
      <c r="C13" s="109" t="n">
        <v>0.2</v>
      </c>
      <c r="D13" s="109" t="n">
        <v>0.35</v>
      </c>
      <c r="E13" s="109" t="n">
        <v>0.55</v>
      </c>
    </row>
    <row r="16">
      <c r="A16" s="107" t="inlineStr">
        <is>
          <t>BẢNG 2: KẾT QUẢ STRESS TEST ĐỐI VỚI AGRIBANK (Tỷ đồng)</t>
        </is>
      </c>
      <c r="B16" s="108" t="n"/>
      <c r="C16" s="108" t="n"/>
      <c r="D16" s="108" t="n"/>
      <c r="E16" s="108" t="n"/>
    </row>
    <row r="17">
      <c r="A17" s="89" t="inlineStr">
        <is>
          <t>Chỉ tiêu phân tích</t>
        </is>
      </c>
      <c r="B17" s="89" t="inlineStr">
        <is>
          <t>Năm 2025 (Thực tế)</t>
        </is>
      </c>
      <c r="C17" s="89" t="inlineStr">
        <is>
          <t>Kịch bản Cơ sở (Baseline)</t>
        </is>
      </c>
      <c r="D17" s="89" t="inlineStr">
        <is>
          <t>Kịch bản Tiêu cực (Adverse)</t>
        </is>
      </c>
      <c r="E17" s="89" t="inlineStr">
        <is>
          <t>Kịch bản Cực đoan (Severe)</t>
        </is>
      </c>
    </row>
    <row r="18">
      <c r="A18" s="91" t="inlineStr">
        <is>
          <t>Tổng dư nợ cho vay khách hàng</t>
        </is>
      </c>
      <c r="B18" s="93" t="n">
        <v>1976369</v>
      </c>
      <c r="C18" s="93" t="n">
        <v>2174000</v>
      </c>
      <c r="D18" s="93" t="n">
        <v>2075000</v>
      </c>
      <c r="E18" s="93" t="n">
        <v>1996000</v>
      </c>
    </row>
    <row r="19">
      <c r="A19" s="91" t="inlineStr">
        <is>
          <t>Nợ nhóm 1 (Đủ tiêu chuẩn)</t>
        </is>
      </c>
      <c r="B19" s="93" t="n">
        <v>1925576</v>
      </c>
      <c r="C19" s="93" t="n">
        <v>2108780</v>
      </c>
      <c r="D19" s="93" t="n">
        <v>1993125</v>
      </c>
      <c r="E19" s="93" t="n">
        <v>1888160</v>
      </c>
    </row>
    <row r="20">
      <c r="A20" s="91" t="inlineStr">
        <is>
          <t>Nợ nhóm 2 (Cần chú ý) sau stress</t>
        </is>
      </c>
      <c r="B20" s="93" t="n">
        <v>27669</v>
      </c>
      <c r="C20" s="93" t="n">
        <v>32610</v>
      </c>
      <c r="D20" s="93" t="n">
        <v>51875</v>
      </c>
      <c r="E20" s="93" t="n">
        <v>79840</v>
      </c>
    </row>
    <row r="21">
      <c r="A21" s="91" t="inlineStr">
        <is>
          <t>Nợ xấu nội bảng nhóm 3-5</t>
        </is>
      </c>
      <c r="B21" s="93" t="n">
        <v>23124</v>
      </c>
      <c r="C21" s="93" t="n">
        <v>27274</v>
      </c>
      <c r="D21" s="93" t="n">
        <v>30041</v>
      </c>
      <c r="E21" s="93" t="n">
        <v>34192</v>
      </c>
    </row>
    <row r="22">
      <c r="A22" s="91" t="inlineStr">
        <is>
          <t xml:space="preserve">  - Trong đó: Nợ xấu phát sinh mới từ nhóm 2</t>
        </is>
      </c>
      <c r="B22" s="93" t="n">
        <v>0</v>
      </c>
      <c r="C22" s="93" t="n">
        <v>4150</v>
      </c>
      <c r="D22" s="93" t="n">
        <v>6917</v>
      </c>
      <c r="E22" s="93" t="n">
        <v>11068</v>
      </c>
    </row>
    <row r="23">
      <c r="A23" s="97" t="inlineStr">
        <is>
          <t>Tỷ lệ nợ xấu (NPL stress)</t>
        </is>
      </c>
      <c r="B23" s="111" t="n">
        <v>0.0117</v>
      </c>
      <c r="C23" s="111" t="n">
        <v>0.0125</v>
      </c>
      <c r="D23" s="111" t="n">
        <v>0.0145</v>
      </c>
      <c r="E23" s="111" t="n">
        <v>0.0171</v>
      </c>
    </row>
    <row r="24">
      <c r="A24" s="91" t="inlineStr">
        <is>
          <t>Quỹ dự phòng rủi ro tín dụng hiện có</t>
        </is>
      </c>
      <c r="B24" s="93" t="n">
        <v>33367</v>
      </c>
      <c r="C24" s="93" t="n">
        <v>33367</v>
      </c>
      <c r="D24" s="93" t="n">
        <v>33367</v>
      </c>
      <c r="E24" s="93" t="n">
        <v>33367</v>
      </c>
    </row>
    <row r="25">
      <c r="A25" s="91" t="inlineStr">
        <is>
          <t>Nhu cầu trích lập chi phí dự phòng bổ sung</t>
        </is>
      </c>
      <c r="B25" s="93" t="n">
        <v>0</v>
      </c>
      <c r="C25" s="93" t="n">
        <v>8500</v>
      </c>
      <c r="D25" s="93" t="n">
        <v>16200</v>
      </c>
      <c r="E25" s="93" t="n">
        <v>26500</v>
      </c>
    </row>
    <row r="26">
      <c r="A26" s="91" t="inlineStr">
        <is>
          <t>Tỷ lệ bao phủ nợ xấu (LLCR stress)</t>
        </is>
      </c>
      <c r="B26" s="109" t="n">
        <v>1.443</v>
      </c>
      <c r="C26" s="109" t="n">
        <v>1.535</v>
      </c>
      <c r="D26" s="109" t="n">
        <v>1.65</v>
      </c>
      <c r="E26" s="109" t="n">
        <v>1.751</v>
      </c>
    </row>
    <row r="27">
      <c r="A27" s="97" t="inlineStr">
        <is>
          <t>Lợi nhuận trước thuế sau stress</t>
        </is>
      </c>
      <c r="B27" s="93" t="n">
        <v>31170</v>
      </c>
      <c r="C27" s="93" t="n">
        <v>32500</v>
      </c>
      <c r="D27" s="93" t="n">
        <v>21800</v>
      </c>
      <c r="E27" s="93" t="n">
        <v>8500</v>
      </c>
    </row>
    <row r="28">
      <c r="A28" s="91" t="inlineStr">
        <is>
          <t xml:space="preserve">  - Tỷ lệ suy giảm LNTT so kịch bản cơ sở</t>
        </is>
      </c>
      <c r="B28" s="109" t="n">
        <v>0</v>
      </c>
      <c r="C28" s="109" t="n">
        <v>0</v>
      </c>
      <c r="D28" s="109" t="n">
        <v>-0.329</v>
      </c>
      <c r="E28" s="109" t="n">
        <v>-0.738</v>
      </c>
    </row>
    <row r="29">
      <c r="A29" s="91" t="inlineStr">
        <is>
          <t>Vốn tự có (Tier 1 + Tier 2)</t>
        </is>
      </c>
      <c r="B29" s="93" t="n">
        <v>180000</v>
      </c>
      <c r="C29" s="93" t="n">
        <v>193000</v>
      </c>
      <c r="D29" s="93" t="n">
        <v>184440</v>
      </c>
      <c r="E29" s="93" t="n">
        <v>173800</v>
      </c>
    </row>
    <row r="30">
      <c r="A30" s="91" t="inlineStr">
        <is>
          <t>Tổng tài sản có rủi ro (RWA)</t>
        </is>
      </c>
      <c r="B30" s="93" t="n">
        <v>1980000</v>
      </c>
      <c r="C30" s="93" t="n">
        <v>2178000</v>
      </c>
      <c r="D30" s="93" t="n">
        <v>2095750</v>
      </c>
      <c r="E30" s="93" t="n">
        <v>2035920</v>
      </c>
    </row>
    <row r="31">
      <c r="A31" s="97" t="inlineStr">
        <is>
          <t>Tỷ lệ an toàn vốn (CAR stress theo TT 41)</t>
        </is>
      </c>
      <c r="B31" s="111" t="n">
        <v>0.091</v>
      </c>
      <c r="C31" s="111" t="n">
        <v>0.0886</v>
      </c>
      <c r="D31" s="111" t="n">
        <v>0.08799999999999999</v>
      </c>
      <c r="E31" s="111" t="n">
        <v>0.0854</v>
      </c>
    </row>
    <row r="32">
      <c r="A32" s="91" t="inlineStr">
        <is>
          <t>Thặng dư / (Thâm hụt) vốn so với ngưỡng 8,0%</t>
        </is>
      </c>
      <c r="B32" s="112" t="n">
        <v>0.011</v>
      </c>
      <c r="C32" s="112" t="n">
        <v>0.0086</v>
      </c>
      <c r="D32" s="112" t="n">
        <v>0.008</v>
      </c>
      <c r="E32" s="113" t="n">
        <v>0.0054</v>
      </c>
    </row>
    <row r="35">
      <c r="A35" s="107" t="inlineStr">
        <is>
          <t>BẢNG 3: KẾT QUẢ STRESS TEST ĐỐI VỚI MB (HỢP NHẤT) (Tỷ đồng)</t>
        </is>
      </c>
      <c r="B35" s="108" t="n"/>
      <c r="C35" s="108" t="n"/>
      <c r="D35" s="108" t="n"/>
      <c r="E35" s="108" t="n"/>
    </row>
    <row r="36">
      <c r="A36" s="89" t="inlineStr">
        <is>
          <t>Chỉ tiêu phân tích</t>
        </is>
      </c>
      <c r="B36" s="89" t="inlineStr">
        <is>
          <t>Năm 2025 (Thực tế)</t>
        </is>
      </c>
      <c r="C36" s="89" t="inlineStr">
        <is>
          <t>Kịch bản Cơ sở (Baseline)</t>
        </is>
      </c>
      <c r="D36" s="89" t="inlineStr">
        <is>
          <t>Kịch bản Tiêu cực (Adverse)</t>
        </is>
      </c>
      <c r="E36" s="89" t="inlineStr">
        <is>
          <t>Kịch bản Cực đoan (Severe)</t>
        </is>
      </c>
    </row>
    <row r="37">
      <c r="A37" s="91" t="inlineStr">
        <is>
          <t>Tổng dư nợ cho vay khách hàng</t>
        </is>
      </c>
      <c r="B37" s="93" t="n">
        <v>1084000</v>
      </c>
      <c r="C37" s="93" t="n">
        <v>1246000</v>
      </c>
      <c r="D37" s="93" t="n">
        <v>1181000</v>
      </c>
      <c r="E37" s="93" t="n">
        <v>1138000</v>
      </c>
    </row>
    <row r="38">
      <c r="A38" s="91" t="inlineStr">
        <is>
          <t>Nợ nhóm 1 (Đủ tiêu chuẩn)</t>
        </is>
      </c>
      <c r="B38" s="93" t="n">
        <v>1059763</v>
      </c>
      <c r="C38" s="93" t="n">
        <v>1205600</v>
      </c>
      <c r="D38" s="93" t="n">
        <v>1128400</v>
      </c>
      <c r="E38" s="93" t="n">
        <v>1056500</v>
      </c>
    </row>
    <row r="39">
      <c r="A39" s="91" t="inlineStr">
        <is>
          <t>Nợ nhóm 2 (Cần chú ý) sau stress</t>
        </is>
      </c>
      <c r="B39" s="93" t="n">
        <v>10210</v>
      </c>
      <c r="C39" s="93" t="n">
        <v>22428</v>
      </c>
      <c r="D39" s="93" t="n">
        <v>41335</v>
      </c>
      <c r="E39" s="93" t="n">
        <v>68280</v>
      </c>
    </row>
    <row r="40">
      <c r="A40" s="91" t="inlineStr">
        <is>
          <t>Nợ xấu nội bảng nhóm 3-5</t>
        </is>
      </c>
      <c r="B40" s="93" t="n">
        <v>14027</v>
      </c>
      <c r="C40" s="93" t="n">
        <v>16069</v>
      </c>
      <c r="D40" s="93" t="n">
        <v>17601</v>
      </c>
      <c r="E40" s="93" t="n">
        <v>19643</v>
      </c>
    </row>
    <row r="41">
      <c r="A41" s="91" t="inlineStr">
        <is>
          <t xml:space="preserve">  - Trong đó: Nợ xấu phát sinh mới từ nhóm 2</t>
        </is>
      </c>
      <c r="B41" s="93" t="n">
        <v>0</v>
      </c>
      <c r="C41" s="93" t="n">
        <v>2042</v>
      </c>
      <c r="D41" s="93" t="n">
        <v>3574</v>
      </c>
      <c r="E41" s="93" t="n">
        <v>5616</v>
      </c>
    </row>
    <row r="42">
      <c r="A42" s="97" t="inlineStr">
        <is>
          <t>Tỷ lệ nợ xấu (NPL stress)</t>
        </is>
      </c>
      <c r="B42" s="111" t="n">
        <v>0.0129</v>
      </c>
      <c r="C42" s="111" t="n">
        <v>0.0129</v>
      </c>
      <c r="D42" s="111" t="n">
        <v>0.0149</v>
      </c>
      <c r="E42" s="111" t="n">
        <v>0.0173</v>
      </c>
    </row>
    <row r="43">
      <c r="A43" s="91" t="inlineStr">
        <is>
          <t>Quỹ dự phòng rủi ro tín dụng hiện có</t>
        </is>
      </c>
      <c r="B43" s="93" t="n">
        <v>13185</v>
      </c>
      <c r="C43" s="93" t="n">
        <v>13185</v>
      </c>
      <c r="D43" s="93" t="n">
        <v>13185</v>
      </c>
      <c r="E43" s="93" t="n">
        <v>13185</v>
      </c>
    </row>
    <row r="44">
      <c r="A44" s="91" t="inlineStr">
        <is>
          <t>Nhu cầu trích lập chi phí dự phòng bổ sung</t>
        </is>
      </c>
      <c r="B44" s="93" t="n">
        <v>0</v>
      </c>
      <c r="C44" s="93" t="n">
        <v>5200</v>
      </c>
      <c r="D44" s="93" t="n">
        <v>12800</v>
      </c>
      <c r="E44" s="93" t="n">
        <v>22400</v>
      </c>
    </row>
    <row r="45">
      <c r="A45" s="91" t="inlineStr">
        <is>
          <t>Tỷ lệ bao phủ nợ xấu (LLCR stress)</t>
        </is>
      </c>
      <c r="B45" s="109" t="n">
        <v>0.9399999999999999</v>
      </c>
      <c r="C45" s="109" t="n">
        <v>1.144</v>
      </c>
      <c r="D45" s="109" t="n">
        <v>1.476</v>
      </c>
      <c r="E45" s="109" t="n">
        <v>1.812</v>
      </c>
    </row>
    <row r="46">
      <c r="A46" s="97" t="inlineStr">
        <is>
          <t>Lợi nhuận trước thuế sau stress</t>
        </is>
      </c>
      <c r="B46" s="93" t="n">
        <v>34268</v>
      </c>
      <c r="C46" s="93" t="n">
        <v>38500</v>
      </c>
      <c r="D46" s="93" t="n">
        <v>23600</v>
      </c>
      <c r="E46" s="93" t="n">
        <v>11800</v>
      </c>
    </row>
    <row r="47">
      <c r="A47" s="91" t="inlineStr">
        <is>
          <t xml:space="preserve">  - Tỷ lệ suy giảm LNTT so kịch bản cơ sở</t>
        </is>
      </c>
      <c r="B47" s="109" t="n">
        <v>0</v>
      </c>
      <c r="C47" s="109" t="n">
        <v>0</v>
      </c>
      <c r="D47" s="109" t="n">
        <v>-0.387</v>
      </c>
      <c r="E47" s="109" t="n">
        <v>-0.694</v>
      </c>
    </row>
    <row r="48">
      <c r="A48" s="91" t="inlineStr">
        <is>
          <t>Vốn tự có (Tier 1 + Tier 2)</t>
        </is>
      </c>
      <c r="B48" s="93" t="n">
        <v>110000</v>
      </c>
      <c r="C48" s="93" t="n">
        <v>124000</v>
      </c>
      <c r="D48" s="93" t="n">
        <v>113680</v>
      </c>
      <c r="E48" s="93" t="n">
        <v>104240</v>
      </c>
    </row>
    <row r="49">
      <c r="A49" s="91" t="inlineStr">
        <is>
          <t>Tổng tài sản có rủi ro (RWA)</t>
        </is>
      </c>
      <c r="B49" s="93" t="n">
        <v>1000000</v>
      </c>
      <c r="C49" s="93" t="n">
        <v>1150000</v>
      </c>
      <c r="D49" s="93" t="n">
        <v>1100000</v>
      </c>
      <c r="E49" s="93" t="n">
        <v>1060000</v>
      </c>
    </row>
    <row r="50">
      <c r="A50" s="97" t="inlineStr">
        <is>
          <t>Tỷ lệ an toàn vốn (CAR stress theo TT 41)</t>
        </is>
      </c>
      <c r="B50" s="111" t="n">
        <v>0.11</v>
      </c>
      <c r="C50" s="111" t="n">
        <v>0.1078</v>
      </c>
      <c r="D50" s="111" t="n">
        <v>0.1033</v>
      </c>
      <c r="E50" s="111" t="n">
        <v>0.0983</v>
      </c>
    </row>
    <row r="51">
      <c r="A51" s="91" t="inlineStr">
        <is>
          <t>Thặng dư / (Thâm hụt) vốn so với ngưỡng 8,0%</t>
        </is>
      </c>
      <c r="B51" s="112" t="n">
        <v>0.03</v>
      </c>
      <c r="C51" s="112" t="n">
        <v>0.0278</v>
      </c>
      <c r="D51" s="112" t="n">
        <v>0.0233</v>
      </c>
      <c r="E51" s="112" t="n">
        <v>0.0183</v>
      </c>
    </row>
    <row r="53">
      <c r="A53" s="107" t="inlineStr">
        <is>
          <t>BẢNG 4: KẾT LUẬN HỌC THUẬT VỀ ĐỘ NHẠY CỦA HAI MÔ HÌNH QUẢN TRỊ RỦI RO</t>
        </is>
      </c>
      <c r="B53" s="108" t="n"/>
      <c r="C53" s="108" t="n"/>
      <c r="D53" s="108" t="n"/>
      <c r="E53" s="108" t="n"/>
    </row>
    <row r="54">
      <c r="A54" s="97" t="inlineStr">
        <is>
          <t>1. Tính dễ bị tổn thương về vốn (Capital Vulnerability):</t>
        </is>
      </c>
      <c r="B54" s="91" t="inlineStr">
        <is>
          <t>Agribank xuất phát điểm CAR thấp hơn (9,1% theo TT41), nên dù danh mục nông nghiệp phân tán, trong kịch bản Cực đoan bộ đệm vốn co hẹp sát 8,5%, đòi hỏi hỗ trợ tăng vốn nhà nước.</t>
        </is>
      </c>
      <c r="C54" s="114" t="n"/>
      <c r="D54" s="114" t="n"/>
      <c r="E54" s="114" t="n"/>
    </row>
    <row r="55">
      <c r="A55" s="97" t="inlineStr">
        <is>
          <t>2. Độ nhạy cảm lợi nhuận và danh mục rủi ro cao (Profit &amp; Credit Sensitivity):</t>
        </is>
      </c>
      <c r="B55" s="91" t="inlineStr">
        <is>
          <t>MB chịu áp lực trích lập dự phòng bổ sung lớn hơn rất nhiều (lên tới 22.400 tỷ đồng ở kịch bản Cực đoan, bào mòn gần 70% LNTT) do tỷ trọng BĐS, TPDN và vay tín chấp tiêu dùng MCredit có độ nhạy rất cao với lãi suất.</t>
        </is>
      </c>
      <c r="C55" s="114" t="n"/>
      <c r="D55" s="114" t="n"/>
      <c r="E55" s="114" t="n"/>
    </row>
    <row r="56">
      <c r="A56" s="97" t="inlineStr">
        <is>
          <t>3. Hàm ý đối với quản trị rủi ro cấp ngân hàng:</t>
        </is>
      </c>
      <c r="B56" s="91" t="inlineStr">
        <is>
          <t>Agribank cần tối ưu hóa RWA và giữ lại lợi nhuận để tăng vốn Tier 1; MB cần siết chặt hạn mức tập trung danh mục BĐS và áp dụng chính sách định giá bù đắp rủi ro tín chấp.</t>
        </is>
      </c>
      <c r="C56" s="114" t="n"/>
      <c r="D56" s="114" t="n"/>
      <c r="E56" s="114" t="n"/>
    </row>
  </sheetData>
  <mergeCells count="3">
    <mergeCell ref="B56:E56"/>
    <mergeCell ref="B55:E55"/>
    <mergeCell ref="B54:E5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0"/>
  <sheetViews>
    <sheetView showGridLines="1" workbookViewId="0">
      <selection activeCell="A1" sqref="A1"/>
    </sheetView>
  </sheetViews>
  <sheetFormatPr baseColWidth="8" defaultRowHeight="15"/>
  <cols>
    <col width="46" customWidth="1" style="47" min="1" max="1"/>
    <col width="22" customWidth="1" style="47" min="2" max="2"/>
    <col width="24" customWidth="1" style="47" min="3" max="3"/>
    <col width="22" customWidth="1" style="47" min="4" max="4"/>
    <col width="24" customWidth="1" style="47" min="5" max="5"/>
    <col width="30" customWidth="1" style="47" min="6" max="6"/>
  </cols>
  <sheetData>
    <row r="1">
      <c r="A1" s="105" t="inlineStr">
        <is>
          <t>MÔ PHỎNG TÁC ĐỘNG CHUYỂN ĐỔI CHUẨN MỰC IFRS 9 (EXPECTED CREDIT LOSS - ECL)</t>
        </is>
      </c>
    </row>
    <row r="2">
      <c r="A2" s="106" t="inlineStr">
        <is>
          <t>Ước tính khoảng cách dự phòng (Provisioning Gap) giữa VAS (Thông tư 11/2021) và Chuẩn mực Quốc tế IFRS 9</t>
        </is>
      </c>
    </row>
    <row r="4">
      <c r="A4" s="107" t="inlineStr">
        <is>
          <t>BẢNG 1: SO SÁNH PHƯƠNG PHÁP TRÍCH LẬP DỰ PHÒNG: VAS (TT 11) VS IFRS 9</t>
        </is>
      </c>
      <c r="B4" s="108" t="n"/>
      <c r="C4" s="108" t="n"/>
      <c r="D4" s="108" t="n"/>
      <c r="E4" s="108" t="n"/>
      <c r="F4" s="108" t="n"/>
    </row>
    <row r="5">
      <c r="A5" s="89" t="inlineStr">
        <is>
          <t>Giai đoạn tín dụng</t>
        </is>
      </c>
      <c r="B5" s="89" t="inlineStr">
        <is>
          <t>VAS / Thông tư 11/2021 (Incurred Loss)</t>
        </is>
      </c>
      <c r="C5" s="89" t="inlineStr">
        <is>
          <t>IFRS 9 Framework</t>
        </is>
      </c>
      <c r="D5" s="89" t="inlineStr">
        <is>
          <t>Công thức tính ECL</t>
        </is>
      </c>
      <c r="E5" s="89" t="inlineStr">
        <is>
          <t>Agribank Giả định (PD / LGD)</t>
        </is>
      </c>
      <c r="F5" s="89" t="inlineStr">
        <is>
          <t>MB Giả định (PD / LGD)</t>
        </is>
      </c>
    </row>
    <row r="6">
      <c r="A6" s="97" t="inlineStr">
        <is>
          <t>Stage 1 (Performing)</t>
        </is>
      </c>
      <c r="B6" s="91" t="inlineStr">
        <is>
          <t>Nợ nhóm 1 (DP chung 0,75%)</t>
        </is>
      </c>
      <c r="C6" s="91" t="inlineStr">
        <is>
          <t>Không có SICR</t>
        </is>
      </c>
      <c r="D6" s="92" t="inlineStr">
        <is>
          <t>EAD x PD(12m) x LGD</t>
        </is>
      </c>
      <c r="E6" s="92" t="inlineStr">
        <is>
          <t>PD=1,2% | LGD=35%</t>
        </is>
      </c>
      <c r="F6" s="92" t="inlineStr">
        <is>
          <t>PD=1,5% | LGD=45%</t>
        </is>
      </c>
    </row>
    <row r="7">
      <c r="A7" s="97" t="inlineStr">
        <is>
          <t>Stage 2 (Underperforming)</t>
        </is>
      </c>
      <c r="B7" s="91" t="inlineStr">
        <is>
          <t>Nợ nhóm 2 (DP cụ thể 5% sau TSBĐ) + TT 02</t>
        </is>
      </c>
      <c r="C7" s="91" t="inlineStr">
        <is>
          <t>Gia tăng RRTD đáng kể (SICR)</t>
        </is>
      </c>
      <c r="D7" s="92" t="inlineStr">
        <is>
          <t>EAD x PD(Lifetime) x LGD</t>
        </is>
      </c>
      <c r="E7" s="92" t="inlineStr">
        <is>
          <t>PD=18,0% | LGD=35%</t>
        </is>
      </c>
      <c r="F7" s="92" t="inlineStr">
        <is>
          <t>PD=22,0% | LGD=45%</t>
        </is>
      </c>
    </row>
    <row r="8">
      <c r="A8" s="97" t="inlineStr">
        <is>
          <t>Stage 3 (Credit-impaired)</t>
        </is>
      </c>
      <c r="B8" s="91" t="inlineStr">
        <is>
          <t>Nợ nhóm 3-5 (DP cụ thể 20%, 50%, 100%)</t>
        </is>
      </c>
      <c r="C8" s="91" t="inlineStr">
        <is>
          <t>Nợ xấu / Suy giảm giá trị</t>
        </is>
      </c>
      <c r="D8" s="92" t="inlineStr">
        <is>
          <t>EAD x 100% x LGD</t>
        </is>
      </c>
      <c r="E8" s="92" t="inlineStr">
        <is>
          <t>PD=100% | LGD=40%</t>
        </is>
      </c>
      <c r="F8" s="92" t="inlineStr">
        <is>
          <t>PD=100% | LGD=50%</t>
        </is>
      </c>
    </row>
    <row r="11">
      <c r="A11" s="107" t="inlineStr">
        <is>
          <t>BẢNG 2: KẾT QUẢ ĐỊNH LƯỢNG MÔ PHỎNG IFRS 9 NĂM 2025 (Tỷ đồng)</t>
        </is>
      </c>
      <c r="B11" s="108" t="n"/>
      <c r="C11" s="108" t="n"/>
      <c r="D11" s="108" t="n"/>
      <c r="E11" s="108" t="n"/>
      <c r="F11" s="108" t="n"/>
    </row>
    <row r="12">
      <c r="A12" s="89" t="inlineStr">
        <is>
          <t>Khoản mục phân tích</t>
        </is>
      </c>
      <c r="B12" s="89" t="inlineStr">
        <is>
          <t>Dư nợ EAD Agribank</t>
        </is>
      </c>
      <c r="C12" s="89" t="inlineStr">
        <is>
          <t>ECL ước tính Agribank</t>
        </is>
      </c>
      <c r="D12" s="89" t="inlineStr">
        <is>
          <t>Dư nợ EAD MB</t>
        </is>
      </c>
      <c r="E12" s="89" t="inlineStr">
        <is>
          <t>ECL ước tính MB</t>
        </is>
      </c>
      <c r="F12" s="89" t="inlineStr">
        <is>
          <t>Phương pháp &amp; Ghi chú</t>
        </is>
      </c>
    </row>
    <row r="13">
      <c r="A13" s="91" t="inlineStr">
        <is>
          <t>Stage 1: Nợ đủ tiêu chuẩn (Nhóm 1)</t>
        </is>
      </c>
      <c r="B13" s="93" t="n">
        <v>1925576</v>
      </c>
      <c r="C13" s="93" t="n">
        <v>8087</v>
      </c>
      <c r="D13" s="93" t="n">
        <v>1059763</v>
      </c>
      <c r="E13" s="93" t="n">
        <v>7153</v>
      </c>
      <c r="F13" s="115" t="inlineStr">
        <is>
          <t>EAD x PD(12m) x LGD</t>
        </is>
      </c>
    </row>
    <row r="14">
      <c r="A14" s="91" t="inlineStr">
        <is>
          <t>Stage 2: Nợ có SICR (Nhóm 2 + Nợ cơ cấu)</t>
        </is>
      </c>
      <c r="B14" s="93" t="n">
        <v>35169</v>
      </c>
      <c r="C14" s="93" t="n">
        <v>22156</v>
      </c>
      <c r="D14" s="93" t="n">
        <v>11410</v>
      </c>
      <c r="E14" s="93" t="n">
        <v>11296</v>
      </c>
      <c r="F14" s="115" t="inlineStr">
        <is>
          <t>EAD x PD(Lifetime) x LGD</t>
        </is>
      </c>
    </row>
    <row r="15">
      <c r="A15" s="91" t="inlineStr">
        <is>
          <t>Stage 3: Nợ xấu (Nhóm 3–5)</t>
        </is>
      </c>
      <c r="B15" s="93" t="n">
        <v>23124</v>
      </c>
      <c r="C15" s="93" t="n">
        <v>9250</v>
      </c>
      <c r="D15" s="93" t="n">
        <v>14027</v>
      </c>
      <c r="E15" s="93" t="n">
        <v>7014</v>
      </c>
      <c r="F15" s="115" t="inlineStr">
        <is>
          <t>EAD x 100% x LGD</t>
        </is>
      </c>
    </row>
    <row r="16">
      <c r="A16" s="97" t="inlineStr">
        <is>
          <t>TỔNG DỰ PHÒNG ECL THEO IFRS 9 (A)</t>
        </is>
      </c>
      <c r="B16" s="93" t="n">
        <v>1983869</v>
      </c>
      <c r="C16" s="116" t="n">
        <v>39493</v>
      </c>
      <c r="D16" s="93" t="n">
        <v>1085200</v>
      </c>
      <c r="E16" s="116" t="n">
        <v>25463</v>
      </c>
      <c r="F16" s="115" t="inlineStr">
        <is>
          <t>Tổng dự phòng 3 giai đoạn</t>
        </is>
      </c>
    </row>
    <row r="17">
      <c r="A17" s="97" t="inlineStr">
        <is>
          <t>TỔNG DỰ PHÒNG THEO VAS/TT11 HIỆN TẠI (B)</t>
        </is>
      </c>
      <c r="B17" s="93" t="n">
        <v>1976369</v>
      </c>
      <c r="C17" s="116" t="n">
        <v>33367</v>
      </c>
      <c r="D17" s="93" t="n">
        <v>1084000</v>
      </c>
      <c r="E17" s="116" t="n">
        <v>13185</v>
      </c>
      <c r="F17" s="115" t="inlineStr">
        <is>
          <t>Số dư quỹ dự phòng BCTC 2025</t>
        </is>
      </c>
    </row>
    <row r="18">
      <c r="A18" s="97" t="inlineStr">
        <is>
          <t>CHÊNH LỆCH DỰ PHÒNG CẦN BỔ SUNG (GAP = A - B)</t>
        </is>
      </c>
      <c r="B18" s="117" t="n">
        <v>0</v>
      </c>
      <c r="C18" s="118" t="n">
        <v>6126</v>
      </c>
      <c r="D18" s="117" t="n">
        <v>0</v>
      </c>
      <c r="E18" s="118" t="n">
        <v>12278</v>
      </c>
      <c r="F18" s="115" t="inlineStr">
        <is>
          <t>Khoảng cách dự phòng trích thiếu</t>
        </is>
      </c>
    </row>
    <row r="19">
      <c r="A19" s="91" t="inlineStr">
        <is>
          <t>Tỷ lệ thiếu hụt so với dự phòng hiện hành (%)</t>
        </is>
      </c>
      <c r="B19" s="109" t="n">
        <v>0</v>
      </c>
      <c r="C19" s="109" t="n">
        <v>0.184</v>
      </c>
      <c r="D19" s="109" t="n">
        <v>0</v>
      </c>
      <c r="E19" s="109" t="n">
        <v>0.931</v>
      </c>
      <c r="F19" s="115" t="inlineStr">
        <is>
          <t>Gap / Dự phòng hiện hành</t>
        </is>
      </c>
    </row>
    <row r="20">
      <c r="A20" s="91" t="inlineStr">
        <is>
          <t>Vốn chủ sở hữu hiện hành (Equity 2025)</t>
        </is>
      </c>
      <c r="B20" s="117" t="n">
        <v>0</v>
      </c>
      <c r="C20" s="93" t="n">
        <v>125000</v>
      </c>
      <c r="D20" s="117" t="n">
        <v>0</v>
      </c>
      <c r="E20" s="93" t="n">
        <v>110000</v>
      </c>
      <c r="F20" s="115" t="inlineStr">
        <is>
          <t>Vốn CSH trên BCTC 2025</t>
        </is>
      </c>
    </row>
    <row r="21">
      <c r="A21" s="91" t="inlineStr">
        <is>
          <t>Tác động khấu trừ vào Vốn CSH (sau thuế TNDN 20%)</t>
        </is>
      </c>
      <c r="B21" s="117" t="n">
        <v>0</v>
      </c>
      <c r="C21" s="93" t="n">
        <v>-4901</v>
      </c>
      <c r="D21" s="117" t="n">
        <v>0</v>
      </c>
      <c r="E21" s="93" t="n">
        <v>-9822</v>
      </c>
      <c r="F21" s="115" t="inlineStr">
        <is>
          <t>Gap x (1 - 20%)</t>
        </is>
      </c>
    </row>
    <row r="22">
      <c r="A22" s="91" t="inlineStr">
        <is>
          <t>Tỷ lệ suy giảm Vốn chủ sở hữu (%)</t>
        </is>
      </c>
      <c r="B22" s="109" t="n">
        <v>0</v>
      </c>
      <c r="C22" s="109" t="n">
        <v>-0.039</v>
      </c>
      <c r="D22" s="109" t="n">
        <v>0</v>
      </c>
      <c r="E22" s="109" t="n">
        <v>-0.089</v>
      </c>
      <c r="F22" s="115" t="inlineStr">
        <is>
          <t>Khấu trừ / Vốn CSH</t>
        </is>
      </c>
    </row>
    <row r="23">
      <c r="A23" s="97" t="inlineStr">
        <is>
          <t>Tỷ lệ CAR hiện hành theo Thông tư 41 (%)</t>
        </is>
      </c>
      <c r="B23" s="109" t="n">
        <v>0</v>
      </c>
      <c r="C23" s="111" t="n">
        <v>0.091</v>
      </c>
      <c r="D23" s="109" t="n">
        <v>0</v>
      </c>
      <c r="E23" s="111" t="n">
        <v>0.11</v>
      </c>
      <c r="F23" s="115" t="inlineStr">
        <is>
          <t>CAR công bố / ước tính 2025</t>
        </is>
      </c>
    </row>
    <row r="24">
      <c r="A24" s="97" t="inlineStr">
        <is>
          <t>Tỷ lệ CAR sau khi áp dụng IFRS 9 (%)</t>
        </is>
      </c>
      <c r="B24" s="109" t="n">
        <v>0</v>
      </c>
      <c r="C24" s="119" t="n">
        <v>0.0885</v>
      </c>
      <c r="D24" s="109" t="n">
        <v>0</v>
      </c>
      <c r="E24" s="119" t="n">
        <v>0.1002</v>
      </c>
      <c r="F24" s="115" t="inlineStr">
        <is>
          <t>CAR sau khấu trừ vốn</t>
        </is>
      </c>
    </row>
    <row r="25">
      <c r="A25" s="97" t="inlineStr">
        <is>
          <t>Mức suy giảm CAR (điểm phần trăm / bps)</t>
        </is>
      </c>
      <c r="B25" s="109" t="n">
        <v>0</v>
      </c>
      <c r="C25" s="111" t="n">
        <v>-0.0025</v>
      </c>
      <c r="D25" s="109" t="n">
        <v>0</v>
      </c>
      <c r="E25" s="111" t="n">
        <v>-0.0098</v>
      </c>
      <c r="F25" s="115" t="inlineStr">
        <is>
          <t>Chênh lệch điểm % CAR</t>
        </is>
      </c>
    </row>
    <row r="27">
      <c r="A27" s="107" t="inlineStr">
        <is>
          <t>BẢNG 3: PHÂN TÍCH HỌC THUẬT VỀ TÁC ĐỘNG CHUYỂN ĐỔI IFRS 9</t>
        </is>
      </c>
      <c r="B27" s="108" t="n"/>
      <c r="C27" s="108" t="n"/>
      <c r="D27" s="108" t="n"/>
      <c r="E27" s="108" t="n"/>
      <c r="F27" s="108" t="n"/>
    </row>
    <row r="28">
      <c r="A28" s="97" t="inlineStr">
        <is>
          <t>1. Cú sốc trích lập tại Stage 2:</t>
        </is>
      </c>
      <c r="B28" s="91" t="inlineStr">
        <is>
          <t>Dưới chuẩn IFRS 9, khi một khoản nợ bị xếp vào Stage 2 (SICR), ngân hàng phải trích lập dự phòng tổn thất trọn vòng đời (Lifetime ECL) thay vì chỉ trích 5% (trừ TSBĐ) như VAS. Điều này tạo ra khoảng cách trích lập khổng lồ tại MB (thiếu hụt tới 12.278 tỷ đồng, tương đương 93,1% quỹ dự phòng hiện hữu) do quy mô dư nợ tài chính tiêu dùng và TPDN lớn.</t>
        </is>
      </c>
      <c r="C28" s="114" t="n"/>
      <c r="D28" s="114" t="n"/>
      <c r="E28" s="114" t="n"/>
      <c r="F28" s="114" t="n"/>
    </row>
    <row r="29">
      <c r="A29" s="97" t="inlineStr">
        <is>
          <t>2. Tác động bất đối xứng đến CAR:</t>
        </is>
      </c>
      <c r="B29" s="91" t="inlineStr">
        <is>
          <t>MB bị sụt giảm CAR lên tới gần 100 bps (từ 11,0% xuống 10,02%) do LGD của danh mục không có TSBĐ cao (45% - 85%). Ngược lại, Agribank chỉ giảm khoảng 25 bps nhờ 89% - 91% dư nợ được bảo đảm bằng bất động sản nông thôn giúp giảm mạnh hệ số LGD (xuống ~35%).</t>
        </is>
      </c>
      <c r="C29" s="114" t="n"/>
      <c r="D29" s="114" t="n"/>
      <c r="E29" s="114" t="n"/>
      <c r="F29" s="114" t="n"/>
    </row>
    <row r="30">
      <c r="A30" s="97" t="inlineStr">
        <is>
          <t>3. Hàm ý chiến lược:</t>
        </is>
      </c>
      <c r="B30" s="91" t="inlineStr">
        <is>
          <t>Việc áp dụng IFRS 9 sẽ là phép thử khắc nghiệt đối với chiến lược tăng trưởng nóng của các NHTMCP đa năng; ngân hàng nào có tỷ trọng cho vay tín chấp và TPDN cao sẽ phải đối mặt với áp lực tiêu hao vốn rất lớn.</t>
        </is>
      </c>
      <c r="C30" s="114" t="n"/>
      <c r="D30" s="114" t="n"/>
      <c r="E30" s="114" t="n"/>
      <c r="F30" s="114" t="n"/>
    </row>
  </sheetData>
  <mergeCells count="3">
    <mergeCell ref="B30:F30"/>
    <mergeCell ref="B29:F29"/>
    <mergeCell ref="B28:F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2026-10-27T03:05:02Z</dcterms:created>
  <dcterms:modified xmlns:dcterms="http://purl.org/dc/terms/" xmlns:xsi="http://www.w3.org/2001/XMLSchema-instance" xsi:type="dcterms:W3CDTF">2026-10-27T10:22:52Z</dcterms:modified>
  <cp:revision>4</cp:revision>
</cp:coreProperties>
</file>